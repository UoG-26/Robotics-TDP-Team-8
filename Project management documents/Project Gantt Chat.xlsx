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filterPrivacy="1" codeName="ThisWorkbook"/>
  <xr:revisionPtr revIDLastSave="0" documentId="8_{FC93D351-E7A2-4617-9715-9DC1E0837FB2}" xr6:coauthVersionLast="47" xr6:coauthVersionMax="47" xr10:uidLastSave="{00000000-0000-0000-0000-000000000000}"/>
  <bookViews>
    <workbookView xWindow="840" yWindow="1340" windowWidth="38400" windowHeight="22100" xr2:uid="{00000000-000D-0000-FFFF-FFFF00000000}"/>
  </bookViews>
  <sheets>
    <sheet name="Gantt Chat" sheetId="11" r:id="rId1"/>
  </sheets>
  <definedNames>
    <definedName name="_xlnm.Print_Titles" localSheetId="0">'Gantt Chat'!$3:$5</definedName>
    <definedName name="task_end" localSheetId="0">'Gantt Chat'!$F1</definedName>
    <definedName name="task_progress" localSheetId="0">'Gantt Chat'!$D1</definedName>
    <definedName name="task_start" localSheetId="0">'Gantt Chat'!$E1</definedName>
    <definedName name="今天" localSheetId="0">TODAY()</definedName>
    <definedName name="显示周数">'Gantt Chat'!$E$3</definedName>
    <definedName name="项目开始">'Gantt Chat'!$E$2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1" l="1"/>
  <c r="D26" i="11"/>
  <c r="D20" i="11"/>
  <c r="F31" i="11"/>
  <c r="F16" i="11"/>
  <c r="F15" i="11"/>
  <c r="F14" i="11"/>
  <c r="D29" i="11"/>
  <c r="D23" i="11"/>
  <c r="D17" i="11"/>
  <c r="D14" i="11"/>
  <c r="F30" i="11"/>
  <c r="F28" i="11"/>
  <c r="F27" i="11"/>
  <c r="F25" i="11"/>
  <c r="F24" i="11"/>
  <c r="F22" i="11"/>
  <c r="F21" i="11"/>
  <c r="F19" i="11"/>
  <c r="F18" i="11"/>
  <c r="F29" i="11"/>
  <c r="F26" i="11"/>
  <c r="F23" i="11"/>
  <c r="F20" i="11"/>
  <c r="F17" i="11"/>
  <c r="F13" i="11"/>
  <c r="E7" i="11"/>
  <c r="F7" i="11" s="1"/>
  <c r="F12" i="11"/>
  <c r="F11" i="11"/>
  <c r="F10" i="11"/>
  <c r="F9" i="11"/>
  <c r="F8" i="11"/>
  <c r="H6" i="11"/>
  <c r="D13" i="11" l="1"/>
  <c r="H7" i="11"/>
  <c r="I4" i="11"/>
  <c r="I3" i="11" s="1"/>
  <c r="H49" i="11"/>
  <c r="J4" i="11" l="1"/>
  <c r="H8" i="11" l="1"/>
  <c r="K4" i="11"/>
  <c r="H10" i="11" l="1"/>
  <c r="L4" i="11"/>
  <c r="H12" i="11" l="1"/>
  <c r="M4" i="11"/>
  <c r="H13" i="11" l="1"/>
  <c r="N4" i="11"/>
  <c r="H37" i="11" l="1"/>
  <c r="O4" i="11"/>
  <c r="H38" i="11" l="1"/>
  <c r="P4" i="11"/>
  <c r="H39" i="11" l="1"/>
  <c r="P3" i="11"/>
  <c r="Q4" i="11"/>
  <c r="H40" i="11" l="1"/>
  <c r="R4" i="11"/>
  <c r="H43" i="11" l="1"/>
  <c r="S4" i="11"/>
  <c r="T4" i="11" l="1"/>
  <c r="U4" i="11" l="1"/>
  <c r="V4" i="11" l="1"/>
  <c r="W4" i="11" l="1"/>
  <c r="W3" i="11" l="1"/>
  <c r="X4" i="11"/>
  <c r="Y4" i="11" l="1"/>
  <c r="Z4" i="11" l="1"/>
  <c r="AA4" i="11" l="1"/>
  <c r="AB4" i="11" l="1"/>
  <c r="H46" i="11" l="1"/>
  <c r="AC4" i="11"/>
  <c r="AD4" i="11" l="1"/>
  <c r="AD3" i="11" l="1"/>
  <c r="AE4" i="11"/>
  <c r="H48" i="11" l="1"/>
  <c r="AF4" i="11"/>
  <c r="AG4" i="11" l="1"/>
  <c r="AH4" i="11" l="1"/>
  <c r="AI4" i="11" l="1"/>
  <c r="AJ4" i="11" l="1"/>
  <c r="AK4" i="11" l="1"/>
  <c r="AL4" i="11" s="1"/>
  <c r="AK3" i="11" l="1"/>
  <c r="AM4" i="11" l="1"/>
  <c r="AN4" i="11" l="1"/>
  <c r="AO4" i="11" l="1"/>
  <c r="AP4" i="11" l="1"/>
  <c r="AQ4" i="11" l="1"/>
  <c r="AR4" i="11" l="1"/>
  <c r="AR3" i="11" l="1"/>
  <c r="AS4" i="11"/>
  <c r="AT4" i="11" l="1"/>
  <c r="AU4" i="11" l="1"/>
  <c r="AV4" i="11" l="1"/>
  <c r="AW4" i="11" l="1"/>
  <c r="AX4" i="11" l="1"/>
  <c r="AY4" i="11" l="1"/>
  <c r="AY3" i="11" l="1"/>
  <c r="AZ4" i="11"/>
  <c r="BA4" i="11" l="1"/>
  <c r="BB4" i="11" l="1"/>
  <c r="BC4" i="11" l="1"/>
  <c r="BD4" i="11" l="1"/>
  <c r="BE4" i="11" l="1"/>
  <c r="BF4" i="11" l="1"/>
  <c r="BF3" i="11" l="1"/>
  <c r="BG4" i="11"/>
  <c r="BH4" i="11" l="1"/>
  <c r="BI4" i="11" l="1"/>
  <c r="BJ4" i="11" l="1"/>
  <c r="BK4" i="11" l="1"/>
  <c r="BL4" i="11" l="1"/>
  <c r="BM4" i="11" s="1"/>
  <c r="H29" i="11"/>
  <c r="BM3" i="11" l="1"/>
  <c r="BN4" i="11"/>
  <c r="BO4" i="11" s="1"/>
  <c r="BP4" i="11" s="1"/>
  <c r="BQ4" i="11" s="1"/>
  <c r="BR4" i="11" s="1"/>
  <c r="BS4" i="11" s="1"/>
  <c r="BT4" i="11" s="1"/>
  <c r="BT3" i="11" l="1"/>
  <c r="BU4" i="11"/>
  <c r="BV4" i="11" s="1"/>
  <c r="BW4" i="11" s="1"/>
  <c r="BX4" i="11" s="1"/>
  <c r="BY4" i="11" s="1"/>
  <c r="BZ4" i="11" s="1"/>
  <c r="CA4" i="11" s="1"/>
  <c r="CA3" i="11" l="1"/>
  <c r="CB4" i="11"/>
  <c r="CC4" i="11" s="1"/>
  <c r="CD4" i="11" s="1"/>
  <c r="CE4" i="11" s="1"/>
  <c r="CF4" i="11" s="1"/>
  <c r="CG4" i="11" s="1"/>
  <c r="CH4" i="11" s="1"/>
  <c r="CH3" i="11" l="1"/>
  <c r="CI4" i="11"/>
  <c r="CJ4" i="11" s="1"/>
  <c r="CK4" i="11" s="1"/>
  <c r="CL4" i="11" s="1"/>
  <c r="CM4" i="11" s="1"/>
  <c r="CN4" i="11" s="1"/>
  <c r="CO4" i="11" s="1"/>
  <c r="CO3" i="11" l="1"/>
  <c r="CP4" i="11"/>
  <c r="CQ4" i="11" s="1"/>
  <c r="CR4" i="11" s="1"/>
  <c r="CS4" i="11" s="1"/>
  <c r="CT4" i="11" s="1"/>
  <c r="CU4" i="11" s="1"/>
  <c r="CV4" i="11" s="1"/>
  <c r="CV3" i="11" l="1"/>
  <c r="CW4" i="11"/>
  <c r="CX4" i="11" s="1"/>
  <c r="CY4" i="11" s="1"/>
  <c r="CZ4" i="11" s="1"/>
  <c r="DA4" i="11" s="1"/>
  <c r="DB4" i="11" s="1"/>
  <c r="DC4" i="11" s="1"/>
  <c r="DC3" i="11" l="1"/>
  <c r="DD4" i="11"/>
  <c r="DE4" i="11" s="1"/>
  <c r="DF4" i="11" s="1"/>
  <c r="DG4" i="11" s="1"/>
  <c r="DH4" i="11" s="1"/>
  <c r="DI4" i="11" s="1"/>
  <c r="DJ4" i="11" s="1"/>
  <c r="DJ3" i="11" l="1"/>
  <c r="DK4" i="11"/>
  <c r="DL4" i="11" s="1"/>
  <c r="DM4" i="11" s="1"/>
  <c r="DN4" i="11" s="1"/>
  <c r="DO4" i="11" s="1"/>
  <c r="DP4" i="11" s="1"/>
  <c r="DQ4" i="11" s="1"/>
  <c r="DR4" i="11" l="1"/>
  <c r="DS4" i="11" s="1"/>
  <c r="DT4" i="11" s="1"/>
  <c r="DU4" i="11" s="1"/>
  <c r="DV4" i="11" s="1"/>
  <c r="DW4" i="11" s="1"/>
  <c r="DX4" i="11" s="1"/>
  <c r="DQ3" i="11"/>
  <c r="DY4" i="11" l="1"/>
  <c r="DZ4" i="11" s="1"/>
  <c r="EA4" i="11" s="1"/>
  <c r="EB4" i="11" s="1"/>
  <c r="EC4" i="11" s="1"/>
  <c r="ED4" i="11" s="1"/>
  <c r="EE4" i="11" s="1"/>
  <c r="DX3" i="11"/>
  <c r="EF4" i="11" l="1"/>
  <c r="EG4" i="11" s="1"/>
  <c r="EH4" i="11" s="1"/>
  <c r="EI4" i="11" s="1"/>
  <c r="EJ4" i="11" s="1"/>
  <c r="EK4" i="11" s="1"/>
  <c r="EL4" i="11" s="1"/>
  <c r="EE3" i="11"/>
  <c r="EM4" i="11" l="1"/>
  <c r="EN4" i="11" s="1"/>
  <c r="EO4" i="11" s="1"/>
  <c r="EP4" i="11" s="1"/>
  <c r="EQ4" i="11" s="1"/>
  <c r="ER4" i="11" s="1"/>
  <c r="ES4" i="11" s="1"/>
  <c r="EL3" i="11"/>
  <c r="ET4" i="11" l="1"/>
  <c r="EU4" i="11" s="1"/>
  <c r="EV4" i="11" s="1"/>
  <c r="EW4" i="11" s="1"/>
  <c r="EX4" i="11" s="1"/>
  <c r="EY4" i="11" s="1"/>
  <c r="EZ4" i="11" s="1"/>
  <c r="ES3" i="11"/>
  <c r="FA4" i="11" l="1"/>
  <c r="FB4" i="11" s="1"/>
  <c r="FC4" i="11" s="1"/>
  <c r="FD4" i="11" s="1"/>
  <c r="FE4" i="11" s="1"/>
  <c r="FF4" i="11" s="1"/>
  <c r="FG4" i="11" s="1"/>
  <c r="EZ3" i="11"/>
  <c r="FH4" i="11" l="1"/>
  <c r="FI4" i="11" s="1"/>
  <c r="FJ4" i="11" s="1"/>
  <c r="FK4" i="11" s="1"/>
  <c r="FL4" i="11" s="1"/>
  <c r="FM4" i="11" s="1"/>
  <c r="FN4" i="11" s="1"/>
  <c r="FG3" i="11"/>
  <c r="FO4" i="11" l="1"/>
  <c r="FP4" i="11" s="1"/>
  <c r="FQ4" i="11" s="1"/>
  <c r="FR4" i="11" s="1"/>
  <c r="FS4" i="11" s="1"/>
  <c r="FT4" i="11" s="1"/>
  <c r="FU4" i="11" s="1"/>
  <c r="FN3" i="11"/>
  <c r="FV4" i="11" l="1"/>
  <c r="FW4" i="11" s="1"/>
  <c r="FX4" i="11" s="1"/>
  <c r="FY4" i="11" s="1"/>
  <c r="FZ4" i="11" s="1"/>
  <c r="GA4" i="11" s="1"/>
  <c r="FU3" i="11"/>
</calcChain>
</file>

<file path=xl/sharedStrings.xml><?xml version="1.0" encoding="utf-8"?>
<sst xmlns="http://schemas.openxmlformats.org/spreadsheetml/2006/main" count="62" uniqueCount="62">
  <si>
    <t>在此工作表中创建项目日程安排。
在单元格 B1 中输入此项目的标题。
有关如何使用此工作表（包括屏幕阅读器的说明）以及此工作簿作者的信息包含在“关于”工作表中。
继续向下浏览 A 列，获取进一步指示。</t>
  </si>
  <si>
    <t xml:space="preserve">ENG5325: Robotics Team Design Project M </t>
  </si>
  <si>
    <t>在单元格 B3 中输入项目主管的姓名。在单元格 E3 中输入项目开始日期。项目开始：标签位于单元格 C3 中。</t>
  </si>
  <si>
    <r>
      <t>Project Start</t>
    </r>
    <r>
      <rPr>
        <sz val="14"/>
        <color theme="1"/>
        <rFont val="SimSun"/>
        <family val="3"/>
        <charset val="134"/>
      </rPr>
      <t>：</t>
    </r>
    <phoneticPr fontId="20" type="noConversion"/>
  </si>
  <si>
    <t>单元格 E4 中的显示周数表示单元格 I4 中项目日程安排内显示的起始周数。项目开始日期视为第 1 周。要更改显示周数，只需单元格 E4 中输入新的周数。
从单元格 E4 的显示周数开始，每周的开始日期从单元格 I4 开始并且说自动计算得出的。在该视图中，从单元格 I4 到单元格 BF4 共有 8 周的时间。
请勿修改这些单元格。
显示周数：标签位于单元格 C4 中。</t>
  </si>
  <si>
    <r>
      <t>Visible Week</t>
    </r>
    <r>
      <rPr>
        <sz val="14"/>
        <color theme="1"/>
        <rFont val="SimSun"/>
        <family val="3"/>
        <charset val="134"/>
      </rPr>
      <t>：</t>
    </r>
    <phoneticPr fontId="20" type="noConversion"/>
  </si>
  <si>
    <t>单元格 I5 到 BL5 包含每个日期单元格上方单元格块中表示的星期的日期数字并且是自动计算得出的。
请勿修改这些单元格。
今天的日期带有红色（十六进制 #AD3815）轮廓（从第 5 行中显示今天日期的列及至项目日程安排结尾的该列）。</t>
  </si>
  <si>
    <t>此行包含其后面的项目日程安排的标题。
从 B6 浏览到 BL6 以获取内容。该标题上方日期一周中每一天的首字母，从单元格 I6 开始，直到单元格 BL6。
所有项目日程表图表都是根据输入的开始和结束日期使用条件格式自动生成的。
从单元格 I7 开始的列 I 之后，请勿修改列内单元格中的内容。</t>
  </si>
  <si>
    <t>Tasks</t>
    <phoneticPr fontId="20" type="noConversion"/>
  </si>
  <si>
    <t>Progress</t>
    <phoneticPr fontId="20" type="noConversion"/>
  </si>
  <si>
    <t>Start Date</t>
    <phoneticPr fontId="20" type="noConversion"/>
  </si>
  <si>
    <t>End Date</t>
    <phoneticPr fontId="20" type="noConversion"/>
  </si>
  <si>
    <r>
      <rPr>
        <sz val="9"/>
        <color theme="0"/>
        <rFont val="Microsoft YaHei UI"/>
        <family val="2"/>
      </rPr>
      <t>天数</t>
    </r>
  </si>
  <si>
    <t xml:space="preserve">请勿删除此行。隐藏了此行，以保留用于突出显示项目日程安排中当天的公式。 </t>
  </si>
  <si>
    <t>单元格 B8 包含第 1 阶段示例标题。
在单元格 B8 中输入新标题。
如果适用于你的项目，请在单元格 C8 中输入名称以指定阶段。
如果适用于你的项目，请在单元格 D8 中输入整个阶段的进度。
如果适用于你的项目，请在单元格 E8 和 F8 中输入整个阶段的开始和结束日期。
甘特图将根据输入的进度自动填充适当的日期和着色。
要仅从任务中删除阶段和工作，只需删除此行即可。</t>
  </si>
  <si>
    <t>Phase I Project Initiation</t>
  </si>
  <si>
    <t xml:space="preserve">单元格 B9 包含示例任务“任务 1”。
在单元格 B9 中输入新的任务名称。
在单元格 C9 中输入任务负责人。
在单元格 D9 中输入任务进度。进度条出现在单元格中，并根据单元格中的数字进行着色。例如，50% 的进度将着色一半的单元格。
在单元格 E9 中输入任务开始日期。
在单元格 F9 中输入任务结束日期。
从单元格 I9 到 BL9 的块中显示输入日期的已着色状态栏。 </t>
  </si>
  <si>
    <t>1.1 Organize team meetings for member familiarization</t>
  </si>
  <si>
    <t>1.2 Define team management structure</t>
  </si>
  <si>
    <t>第 10 行到第 13 行重复第 9 行的模式。
请对此工作表中的所有任务行重复单元格 A9 中的指令。覆盖任何示例数据。
另一个阶段的示例从单元格 A14 开始。
继续在单元格 A10 到 A13 中输入任务或转到单元格 A14 了解详细信息。</t>
  </si>
  <si>
    <t>1.3 Plan timelines</t>
  </si>
  <si>
    <t>1.4 Estimate project costs (based on personnel time)</t>
  </si>
  <si>
    <t>1.5 Hold first meeting with supervisor to present plan and costs</t>
  </si>
  <si>
    <t>右侧的单元格包含第 2 阶段示例标题。
可随时在 B 列中创建新阶段。此项目日程安排不需要阶段。要删除阶段，只需删除该行即可。
要在此行中创建新的阶段块，请在右侧的单元格中输入新的标题。
要继续向上述阶段添加任务，请在此行上方输入一个新行，并按照单元格 A9 的指令填写任务数据。
根据单元格 A8 的指令更新右侧单元格中的阶段详细信息。
继续向下浏览 A 列单元格，了解更多信息。
如果尚未在此工作表中添加任何新行，将在单元格 B20 和 B26 中找到已创建的 2 个其他示例阶段块。否则，请浏览 A 列单元格以查找其他块。
在需要时重复单元格 A8 和 A9 的说明进行操作。</t>
  </si>
  <si>
    <t>Phase II Simulation</t>
  </si>
  <si>
    <t>2.1 Complete software selection and role assignment</t>
  </si>
  <si>
    <t>- Evaluate and select simulation software</t>
  </si>
  <si>
    <t>- Define and assign team roles and responsibilities</t>
  </si>
  <si>
    <t>2.2 Complete robot and soccer field modeling</t>
  </si>
  <si>
    <t>- Develop a functional NAO6 robot model</t>
  </si>
  <si>
    <t>- Build an official soccer field model with key features</t>
  </si>
  <si>
    <t>2.3 Complete robot dynamics simulation</t>
  </si>
  <si>
    <t>- Implement and validate core dynamic parameters</t>
  </si>
  <si>
    <t>- Run simulations to test stability and movement</t>
  </si>
  <si>
    <t>2.4 Complete robot motion simulation</t>
  </si>
  <si>
    <t>- Program fundamental motion trajectories (walk, turn)</t>
  </si>
  <si>
    <t>- Simulate and optimize motion smoothness and efficiency</t>
  </si>
  <si>
    <t>2.5 Complete robot kicking strategy simulation</t>
  </si>
  <si>
    <t>- Develop kicking algorithm for power and accuracy</t>
  </si>
  <si>
    <t>- Simulate various in-game kicking scenarios</t>
  </si>
  <si>
    <t>2.6 Complete full robot match simulation</t>
  </si>
  <si>
    <t>- Integrate all models and algorithms into a match environment</t>
  </si>
  <si>
    <t>- Run end-to-end match simulations and analyze performance</t>
  </si>
  <si>
    <t>Phase III Pitch Presentation</t>
  </si>
  <si>
    <t>3.1 Slides Content &amp; Design</t>
  </si>
  <si>
    <t>3.2 Demo Video Production</t>
  </si>
  <si>
    <t>3.3 Diagrams &amp; Visual Assets、Q&amp;A</t>
  </si>
  <si>
    <t>3.4 Final Integration &amp; Submission</t>
  </si>
  <si>
    <t>示例阶段标题块</t>
  </si>
  <si>
    <t>Phase IV Hardware</t>
  </si>
  <si>
    <t>4.1 Hardware Setup and Environment Preparation</t>
  </si>
  <si>
    <t>4.2 Sensor and Actuator Integration</t>
  </si>
  <si>
    <t>4.3 Software-to-Hardware Migration</t>
  </si>
  <si>
    <t>4.4 Motion and Behavior Testing</t>
  </si>
  <si>
    <t>4.5 Team Coordination and Communication Testing</t>
  </si>
  <si>
    <t>4.6 Full Match Demonstration and Performance Evaluation</t>
  </si>
  <si>
    <t>Phase V Reporting</t>
  </si>
  <si>
    <t>5.1 Document the Design &amp; Construction Process</t>
    <phoneticPr fontId="20" type="noConversion"/>
  </si>
  <si>
    <t>5.2 Analyse Results Against Initial Specifications</t>
    <phoneticPr fontId="20" type="noConversion"/>
  </si>
  <si>
    <t>5.3 Audio-visual Presentations Preparation</t>
    <phoneticPr fontId="20" type="noConversion"/>
  </si>
  <si>
    <t>5.4 Write Report with Performance Evaluation</t>
    <phoneticPr fontId="20" type="noConversion"/>
  </si>
  <si>
    <t>此行标记项目日程安排的结尾。请勿在此行中输入任何内容。
在此行上方插入新行，以继续构建项目日程安排。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</si>
</sst>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DBNum1][$-804]yyyy&quot;年&quot;m&quot;月&quot;;@"/>
    <numFmt numFmtId="180" formatCode="yyyy/m/d\,\ aaaa"/>
    <numFmt numFmtId="181" formatCode="d"/>
    <numFmt numFmtId="182" formatCode="dd/mm/yyyy;@"/>
  </numFmts>
  <fonts count="41">
    <font>
      <sz val="11"/>
      <color theme="1"/>
      <name val="Microsoft YaHei UI"/>
      <family val="2"/>
    </font>
    <font>
      <sz val="11"/>
      <color theme="1"/>
      <name val="Microsoft YaHei UI"/>
      <family val="2"/>
    </font>
    <font>
      <sz val="11"/>
      <color theme="0"/>
      <name val="Microsoft YaHei UI"/>
      <family val="2"/>
    </font>
    <font>
      <sz val="11"/>
      <color rgb="FF9C0006"/>
      <name val="Microsoft YaHei UI"/>
      <family val="2"/>
    </font>
    <font>
      <b/>
      <sz val="11"/>
      <color rgb="FFFA7D00"/>
      <name val="Microsoft YaHei UI"/>
      <family val="2"/>
    </font>
    <font>
      <b/>
      <sz val="11"/>
      <color theme="0"/>
      <name val="Microsoft YaHei UI"/>
      <family val="2"/>
    </font>
    <font>
      <i/>
      <sz val="11"/>
      <color rgb="FF7F7F7F"/>
      <name val="Microsoft YaHei UI"/>
      <family val="2"/>
    </font>
    <font>
      <u/>
      <sz val="11"/>
      <color theme="11"/>
      <name val="Microsoft YaHei UI"/>
      <family val="2"/>
    </font>
    <font>
      <sz val="11"/>
      <color rgb="FF006100"/>
      <name val="Microsoft YaHei UI"/>
      <family val="2"/>
    </font>
    <font>
      <sz val="14"/>
      <color theme="1"/>
      <name val="Microsoft YaHei UI"/>
      <family val="2"/>
    </font>
    <font>
      <b/>
      <sz val="11"/>
      <color theme="3"/>
      <name val="Microsoft YaHei UI"/>
      <family val="2"/>
    </font>
    <font>
      <u/>
      <sz val="11"/>
      <color indexed="12"/>
      <name val="Microsoft YaHei UI"/>
      <family val="2"/>
    </font>
    <font>
      <sz val="11"/>
      <color rgb="FF3F3F76"/>
      <name val="Microsoft YaHei UI"/>
      <family val="2"/>
    </font>
    <font>
      <sz val="11"/>
      <color rgb="FFFA7D00"/>
      <name val="Microsoft YaHei UI"/>
      <family val="2"/>
    </font>
    <font>
      <sz val="11"/>
      <color rgb="FF9C5700"/>
      <name val="Microsoft YaHei UI"/>
      <family val="2"/>
    </font>
    <font>
      <b/>
      <sz val="11"/>
      <color rgb="FF3F3F3F"/>
      <name val="Microsoft YaHei UI"/>
      <family val="2"/>
    </font>
    <font>
      <b/>
      <sz val="22"/>
      <color theme="1" tint="0.34998626667073579"/>
      <name val="Microsoft YaHei UI"/>
      <family val="2"/>
    </font>
    <font>
      <b/>
      <sz val="11"/>
      <color theme="1"/>
      <name val="Microsoft YaHei UI"/>
      <family val="2"/>
    </font>
    <font>
      <sz val="11"/>
      <color rgb="FFFF0000"/>
      <name val="Microsoft YaHei UI"/>
      <family val="2"/>
    </font>
    <font>
      <sz val="10"/>
      <color theme="1" tint="0.499984740745262"/>
      <name val="Microsoft YaHei UI"/>
      <family val="2"/>
    </font>
    <font>
      <sz val="9"/>
      <name val="宋体"/>
      <family val="3"/>
      <charset val="134"/>
    </font>
    <font>
      <b/>
      <sz val="11"/>
      <color theme="1"/>
      <name val="Calibri"/>
      <family val="2"/>
    </font>
    <font>
      <sz val="11"/>
      <color theme="1"/>
      <name val="Calibri"/>
      <family val="2"/>
    </font>
    <font>
      <b/>
      <sz val="14"/>
      <color theme="1"/>
      <name val="Calibri"/>
      <family val="2"/>
    </font>
    <font>
      <sz val="14"/>
      <color theme="1"/>
      <name val="Calibri"/>
      <family val="2"/>
    </font>
    <font>
      <sz val="12"/>
      <color theme="1"/>
      <name val="Calibri"/>
      <family val="2"/>
    </font>
    <font>
      <sz val="14"/>
      <color theme="1"/>
      <name val="SimSun"/>
      <family val="3"/>
      <charset val="134"/>
    </font>
    <font>
      <sz val="12"/>
      <name val="Calibri"/>
      <family val="2"/>
    </font>
    <font>
      <sz val="9"/>
      <color theme="0"/>
      <name val="Microsoft YaHei UI"/>
      <family val="2"/>
    </font>
    <font>
      <sz val="9"/>
      <name val="Calibri"/>
      <family val="2"/>
    </font>
    <font>
      <sz val="9"/>
      <color theme="0"/>
      <name val="Calibri"/>
      <family val="2"/>
    </font>
    <font>
      <sz val="8"/>
      <color theme="0"/>
      <name val="Calibri"/>
      <family val="2"/>
    </font>
    <font>
      <sz val="12"/>
      <color theme="0"/>
      <name val="Calibri"/>
      <family val="2"/>
    </font>
    <font>
      <i/>
      <sz val="10"/>
      <color theme="1"/>
      <name val="Calibri"/>
      <family val="2"/>
    </font>
    <font>
      <sz val="20"/>
      <color theme="1" tint="0.34998626667073579"/>
      <name val="Calibri"/>
      <family val="2"/>
    </font>
    <font>
      <b/>
      <sz val="20"/>
      <color theme="4" tint="-0.249977111117893"/>
      <name val="Calibri"/>
      <family val="2"/>
    </font>
    <font>
      <sz val="10"/>
      <name val="Calibri"/>
      <family val="2"/>
    </font>
    <font>
      <b/>
      <sz val="11"/>
      <name val="Calibri"/>
      <family val="2"/>
    </font>
    <font>
      <sz val="11"/>
      <name val="Calibri"/>
      <family val="2"/>
    </font>
    <font>
      <i/>
      <sz val="9"/>
      <color theme="1"/>
      <name val="Calibri"/>
      <family val="2"/>
    </font>
    <font>
      <sz val="10"/>
      <color theme="1" tint="0.499984740745262"/>
      <name val="Calibri"/>
      <family val="2"/>
    </font>
  </fonts>
  <fills count="4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7999816888943144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80"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0" borderId="0" applyNumberFormat="0" applyBorder="0" applyAlignment="0" applyProtection="0"/>
    <xf numFmtId="0" fontId="3" fillId="11" borderId="0" applyNumberFormat="0" applyBorder="0" applyAlignment="0" applyProtection="0"/>
    <xf numFmtId="0" fontId="14" fillId="12" borderId="0" applyNumberFormat="0" applyBorder="0" applyAlignment="0" applyProtection="0"/>
    <xf numFmtId="0" fontId="12" fillId="13" borderId="11" applyNumberFormat="0" applyAlignment="0" applyProtection="0"/>
    <xf numFmtId="0" fontId="15" fillId="14" borderId="12" applyNumberFormat="0" applyAlignment="0" applyProtection="0"/>
    <xf numFmtId="0" fontId="4" fillId="14" borderId="11" applyNumberFormat="0" applyAlignment="0" applyProtection="0"/>
    <xf numFmtId="0" fontId="13" fillId="0" borderId="13" applyNumberFormat="0" applyFill="0" applyAlignment="0" applyProtection="0"/>
    <xf numFmtId="0" fontId="5" fillId="15" borderId="14" applyNumberFormat="0" applyAlignment="0" applyProtection="0"/>
    <xf numFmtId="0" fontId="18" fillId="0" borderId="0" applyNumberFormat="0" applyFill="0" applyBorder="0" applyAlignment="0" applyProtection="0"/>
    <xf numFmtId="0" fontId="1" fillId="16"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cellStyleXfs>
  <cellXfs count="7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2" fillId="0" borderId="0" xfId="3"/>
    <xf numFmtId="0" fontId="2" fillId="0" borderId="0" xfId="3" applyAlignment="1">
      <alignment wrapText="1"/>
    </xf>
    <xf numFmtId="0" fontId="2" fillId="0" borderId="0" xfId="0" applyFont="1" applyAlignment="1">
      <alignment horizontal="center"/>
    </xf>
    <xf numFmtId="0" fontId="19" fillId="0" borderId="0" xfId="1" applyFont="1" applyAlignment="1" applyProtection="1"/>
    <xf numFmtId="0" fontId="22" fillId="0" borderId="0" xfId="0" applyFont="1"/>
    <xf numFmtId="0" fontId="25" fillId="0" borderId="3" xfId="0" applyFont="1" applyBorder="1" applyAlignment="1">
      <alignment horizontal="center" vertical="center"/>
    </xf>
    <xf numFmtId="0" fontId="25" fillId="0" borderId="0" xfId="0" applyFont="1"/>
    <xf numFmtId="9" fontId="27" fillId="3" borderId="2" xfId="2" applyFont="1" applyFill="1" applyBorder="1" applyAlignment="1">
      <alignment horizontal="center" vertical="center"/>
    </xf>
    <xf numFmtId="182" fontId="22" fillId="42" borderId="2" xfId="10" applyNumberFormat="1" applyFont="1" applyFill="1">
      <alignment horizontal="center" vertical="center"/>
    </xf>
    <xf numFmtId="182" fontId="22" fillId="7" borderId="2" xfId="10" applyNumberFormat="1" applyFont="1" applyFill="1">
      <alignment horizontal="center" vertical="center"/>
    </xf>
    <xf numFmtId="182" fontId="22" fillId="44" borderId="2" xfId="10" applyNumberFormat="1" applyFont="1" applyFill="1">
      <alignment horizontal="center" vertical="center"/>
    </xf>
    <xf numFmtId="182" fontId="22" fillId="43" borderId="2" xfId="10" applyNumberFormat="1" applyFont="1" applyFill="1">
      <alignment horizontal="center" vertical="center"/>
    </xf>
    <xf numFmtId="182" fontId="21" fillId="41" borderId="2" xfId="11" applyNumberFormat="1" applyFont="1" applyFill="1">
      <alignment horizontal="center" vertical="center"/>
    </xf>
    <xf numFmtId="182" fontId="22" fillId="6" borderId="2" xfId="10" applyNumberFormat="1" applyFont="1" applyFill="1">
      <alignment horizontal="center" vertical="center"/>
    </xf>
    <xf numFmtId="0" fontId="22" fillId="0" borderId="10" xfId="0" applyFont="1" applyBorder="1"/>
    <xf numFmtId="181" fontId="29" fillId="4" borderId="6" xfId="0" applyNumberFormat="1" applyFont="1" applyFill="1" applyBorder="1" applyAlignment="1">
      <alignment horizontal="center" vertical="center"/>
    </xf>
    <xf numFmtId="181" fontId="29" fillId="4" borderId="0" xfId="0" applyNumberFormat="1" applyFont="1" applyFill="1" applyAlignment="1">
      <alignment horizontal="center" vertical="center"/>
    </xf>
    <xf numFmtId="181" fontId="29" fillId="4" borderId="7" xfId="0" applyNumberFormat="1" applyFont="1" applyFill="1" applyBorder="1" applyAlignment="1">
      <alignment horizontal="center" vertical="center"/>
    </xf>
    <xf numFmtId="0" fontId="30" fillId="9" borderId="1" xfId="0" applyFont="1" applyFill="1" applyBorder="1" applyAlignment="1">
      <alignment horizontal="center" vertical="center" wrapText="1"/>
    </xf>
    <xf numFmtId="0" fontId="31" fillId="8" borderId="8" xfId="0" applyFont="1" applyFill="1" applyBorder="1" applyAlignment="1">
      <alignment horizontal="center" vertical="center" shrinkToFit="1"/>
    </xf>
    <xf numFmtId="0" fontId="32" fillId="9" borderId="1" xfId="0" applyFont="1" applyFill="1" applyBorder="1" applyAlignment="1">
      <alignment horizontal="center" vertical="center" wrapText="1"/>
    </xf>
    <xf numFmtId="0" fontId="33" fillId="2" borderId="2" xfId="0" applyFont="1" applyFill="1" applyBorder="1" applyAlignment="1">
      <alignment horizontal="left" vertical="center" indent="1"/>
    </xf>
    <xf numFmtId="9" fontId="27" fillId="41" borderId="2" xfId="2" applyFont="1" applyFill="1" applyBorder="1" applyAlignment="1">
      <alignment horizontal="center" vertical="center"/>
    </xf>
    <xf numFmtId="9" fontId="27" fillId="45" borderId="2" xfId="2" applyFont="1" applyFill="1" applyBorder="1" applyAlignment="1">
      <alignment horizontal="center" vertical="center"/>
    </xf>
    <xf numFmtId="182" fontId="22" fillId="45" borderId="2" xfId="11" applyNumberFormat="1" applyFont="1" applyFill="1">
      <alignment horizontal="center" vertical="center"/>
    </xf>
    <xf numFmtId="9" fontId="27" fillId="43" borderId="2" xfId="2" applyFont="1" applyFill="1" applyBorder="1" applyAlignment="1">
      <alignment horizontal="center" vertical="center"/>
    </xf>
    <xf numFmtId="9" fontId="27" fillId="44" borderId="2" xfId="2" applyFont="1" applyFill="1" applyBorder="1" applyAlignment="1">
      <alignment horizontal="center" vertical="center"/>
    </xf>
    <xf numFmtId="182" fontId="22" fillId="5" borderId="2" xfId="10" applyNumberFormat="1" applyFont="1" applyFill="1">
      <alignment horizontal="center" vertical="center"/>
    </xf>
    <xf numFmtId="0" fontId="35" fillId="0" borderId="0" xfId="0" applyFont="1" applyAlignment="1">
      <alignment horizontal="left"/>
    </xf>
    <xf numFmtId="0" fontId="36" fillId="0" borderId="0" xfId="0" applyFont="1"/>
    <xf numFmtId="0" fontId="36" fillId="0" borderId="0" xfId="0" applyFont="1" applyAlignment="1">
      <alignment horizontal="center"/>
    </xf>
    <xf numFmtId="0" fontId="36" fillId="0" borderId="0" xfId="0" applyFont="1" applyAlignment="1">
      <alignment horizontal="center" vertical="center"/>
    </xf>
    <xf numFmtId="0" fontId="37" fillId="0" borderId="0" xfId="0" applyFont="1"/>
    <xf numFmtId="0" fontId="24" fillId="0" borderId="0" xfId="7" applyFont="1">
      <alignment vertical="top"/>
    </xf>
    <xf numFmtId="0" fontId="22" fillId="0" borderId="0" xfId="0" applyFont="1" applyAlignment="1">
      <alignment wrapText="1"/>
    </xf>
    <xf numFmtId="0" fontId="22" fillId="0" borderId="9" xfId="0" applyFont="1" applyBorder="1" applyAlignment="1">
      <alignment vertical="center"/>
    </xf>
    <xf numFmtId="0" fontId="38" fillId="0" borderId="2" xfId="0" applyFont="1" applyBorder="1" applyAlignment="1">
      <alignment horizontal="center" vertical="center"/>
    </xf>
    <xf numFmtId="0" fontId="22" fillId="0" borderId="9" xfId="0" applyFont="1" applyBorder="1" applyAlignment="1">
      <alignment horizontal="right" vertical="center"/>
    </xf>
    <xf numFmtId="0" fontId="39" fillId="2" borderId="2" xfId="0" applyFont="1" applyFill="1" applyBorder="1" applyAlignment="1">
      <alignment horizontal="center" vertical="center"/>
    </xf>
    <xf numFmtId="9" fontId="38" fillId="2" borderId="2" xfId="2" applyFont="1" applyFill="1" applyBorder="1" applyAlignment="1">
      <alignment horizontal="center" vertical="center"/>
    </xf>
    <xf numFmtId="179" fontId="40" fillId="2" borderId="2" xfId="0" applyNumberFormat="1" applyFont="1" applyFill="1" applyBorder="1" applyAlignment="1">
      <alignment horizontal="left" vertical="center"/>
    </xf>
    <xf numFmtId="179" fontId="38" fillId="2" borderId="2" xfId="0" applyNumberFormat="1" applyFont="1" applyFill="1" applyBorder="1" applyAlignment="1">
      <alignment horizontal="center" vertical="center"/>
    </xf>
    <xf numFmtId="0" fontId="38" fillId="2" borderId="2" xfId="0" applyFont="1" applyFill="1" applyBorder="1" applyAlignment="1">
      <alignment horizontal="center" vertical="center"/>
    </xf>
    <xf numFmtId="0" fontId="22" fillId="2" borderId="9" xfId="0" applyFont="1" applyFill="1" applyBorder="1" applyAlignment="1">
      <alignment vertical="center"/>
    </xf>
    <xf numFmtId="0" fontId="34" fillId="0" borderId="0" xfId="5" applyFont="1" applyAlignment="1">
      <alignment horizontal="left"/>
    </xf>
    <xf numFmtId="0" fontId="25" fillId="42" borderId="2" xfId="11" applyFont="1" applyFill="1" applyAlignment="1">
      <alignment horizontal="left" vertical="center"/>
    </xf>
    <xf numFmtId="0" fontId="25" fillId="5" borderId="2" xfId="12" applyFont="1" applyFill="1" applyAlignment="1">
      <alignment horizontal="left" vertical="center"/>
    </xf>
    <xf numFmtId="0" fontId="22" fillId="7" borderId="2" xfId="12" applyFont="1" applyFill="1" applyAlignment="1">
      <alignment horizontal="left" vertical="center"/>
    </xf>
    <xf numFmtId="9" fontId="27" fillId="46" borderId="2" xfId="2" applyFont="1" applyFill="1" applyBorder="1" applyAlignment="1">
      <alignment horizontal="center" vertical="center"/>
    </xf>
    <xf numFmtId="182" fontId="22" fillId="46" borderId="2" xfId="11" applyNumberFormat="1" applyFont="1" applyFill="1">
      <alignment horizontal="center" vertical="center"/>
    </xf>
    <xf numFmtId="182" fontId="22" fillId="47" borderId="2" xfId="10" applyNumberFormat="1" applyFont="1" applyFill="1">
      <alignment horizontal="center" vertical="center"/>
    </xf>
    <xf numFmtId="0" fontId="22" fillId="47" borderId="2" xfId="12" applyFont="1" applyFill="1" applyAlignment="1">
      <alignment horizontal="left" vertical="center"/>
    </xf>
    <xf numFmtId="182" fontId="22" fillId="4" borderId="4" xfId="0" applyNumberFormat="1" applyFont="1" applyFill="1" applyBorder="1" applyAlignment="1">
      <alignment horizontal="left" vertical="center" wrapText="1" indent="1"/>
    </xf>
    <xf numFmtId="182" fontId="22" fillId="4" borderId="1" xfId="0" applyNumberFormat="1" applyFont="1" applyFill="1" applyBorder="1" applyAlignment="1">
      <alignment horizontal="left" vertical="center" wrapText="1" indent="1"/>
    </xf>
    <xf numFmtId="182" fontId="22" fillId="4" borderId="5" xfId="0" applyNumberFormat="1" applyFont="1" applyFill="1" applyBorder="1" applyAlignment="1">
      <alignment horizontal="left" vertical="center" wrapText="1" indent="1"/>
    </xf>
    <xf numFmtId="0" fontId="32" fillId="9" borderId="1" xfId="0" applyFont="1" applyFill="1" applyBorder="1" applyAlignment="1">
      <alignment horizontal="center" vertical="center"/>
    </xf>
    <xf numFmtId="0" fontId="25" fillId="5" borderId="2" xfId="12" applyFont="1" applyFill="1" applyAlignment="1">
      <alignment horizontal="left" vertical="center"/>
    </xf>
    <xf numFmtId="0" fontId="25" fillId="6" borderId="2" xfId="12" applyFont="1" applyFill="1" applyAlignment="1">
      <alignment horizontal="left" vertical="center"/>
    </xf>
    <xf numFmtId="0" fontId="23" fillId="44" borderId="2" xfId="0" applyFont="1" applyFill="1" applyBorder="1" applyAlignment="1">
      <alignment horizontal="left" vertical="center"/>
    </xf>
    <xf numFmtId="0" fontId="23" fillId="43" borderId="2" xfId="0" applyFont="1" applyFill="1" applyBorder="1" applyAlignment="1">
      <alignment horizontal="left" vertical="center"/>
    </xf>
    <xf numFmtId="0" fontId="23" fillId="45" borderId="2" xfId="0" applyFont="1" applyFill="1" applyBorder="1" applyAlignment="1">
      <alignment horizontal="left" vertical="center"/>
    </xf>
    <xf numFmtId="0" fontId="23" fillId="41" borderId="2" xfId="12" applyFont="1" applyFill="1" applyAlignment="1">
      <alignment horizontal="left" vertical="center"/>
    </xf>
    <xf numFmtId="0" fontId="22" fillId="7" borderId="2" xfId="12" applyFont="1" applyFill="1" applyAlignment="1">
      <alignment horizontal="left" vertical="center"/>
    </xf>
    <xf numFmtId="0" fontId="23" fillId="46" borderId="2" xfId="0" applyFont="1" applyFill="1" applyBorder="1" applyAlignment="1">
      <alignment horizontal="left" vertical="center"/>
    </xf>
    <xf numFmtId="0" fontId="24" fillId="0" borderId="0" xfId="8" applyFont="1" applyAlignment="1">
      <alignment horizontal="right" indent="1"/>
    </xf>
    <xf numFmtId="0" fontId="24" fillId="0" borderId="7" xfId="8" applyFont="1" applyBorder="1" applyAlignment="1">
      <alignment horizontal="right" indent="1"/>
    </xf>
    <xf numFmtId="182" fontId="25" fillId="0" borderId="3" xfId="9" applyNumberFormat="1" applyFont="1"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Title" xfId="5" builtinId="15" customBuiltin="1"/>
    <cellStyle name="Total" xfId="29" builtinId="25" customBuiltin="1"/>
    <cellStyle name="Warning Text" xfId="26" builtinId="11" customBuiltin="1"/>
    <cellStyle name="z隐藏文本" xfId="3" xr:uid="{26E66EE6-E33F-4D77-BAE4-0FB4F5BBF673}"/>
    <cellStyle name="任务" xfId="12" xr:uid="{6391D789-272B-4DD2-9BF3-2CDCF610FA41}"/>
    <cellStyle name="日期" xfId="10" xr:uid="{229918B6-DD13-4F5A-97B9-305F7E002AA3}"/>
    <cellStyle name="项目开始" xfId="9" xr:uid="{8EB8A09A-C31C-40A3-B2C1-9449520178B8}"/>
    <cellStyle name="姓名" xfId="11" xr:uid="{B2D3C1EE-6B41-4801-AAFC-C2274E49E503}"/>
  </cellStyles>
  <dxfs count="4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待办事项列表" pivot="0" count="9" xr9:uid="{00000000-0011-0000-FFFF-FFFF00000000}">
      <tableStyleElement type="wholeTable" dxfId="47"/>
      <tableStyleElement type="headerRow" dxfId="46"/>
      <tableStyleElement type="totalRow" dxfId="45"/>
      <tableStyleElement type="firstColumn" dxfId="44"/>
      <tableStyleElement type="lastColumn" dxfId="43"/>
      <tableStyleElement type="firstRowStripe" dxfId="42"/>
      <tableStyleElement type="secondRowStripe" dxfId="41"/>
      <tableStyleElement type="firstColumnStripe" dxfId="40"/>
      <tableStyleElement type="secondColumnStripe" dxfId="3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A52"/>
  <sheetViews>
    <sheetView showGridLines="0" tabSelected="1" showRuler="0" zoomScale="110" zoomScaleNormal="110" zoomScalePageLayoutView="70" workbookViewId="0">
      <pane ySplit="5" topLeftCell="B32" activePane="bottomLeft" state="frozen"/>
      <selection pane="bottomLeft" activeCell="F28" sqref="F28"/>
    </sheetView>
  </sheetViews>
  <sheetFormatPr defaultColWidth="8.77734375" defaultRowHeight="30" customHeight="1"/>
  <cols>
    <col min="1" max="1" width="2.44140625" style="4" customWidth="1"/>
    <col min="2" max="2" width="19.6640625" customWidth="1"/>
    <col min="3" max="3" width="30.44140625" customWidth="1"/>
    <col min="4" max="4" width="10.44140625" customWidth="1"/>
    <col min="5" max="5" width="11" style="2" customWidth="1"/>
    <col min="6" max="6" width="11" customWidth="1"/>
    <col min="7" max="7" width="2.44140625" customWidth="1"/>
    <col min="8" max="8" width="6" hidden="1" customWidth="1"/>
    <col min="9" max="52" width="2.44140625" customWidth="1"/>
    <col min="53" max="53" width="2.33203125" customWidth="1"/>
    <col min="54" max="64" width="2.44140625" customWidth="1"/>
    <col min="65" max="71" width="2.77734375" hidden="1" customWidth="1"/>
    <col min="72" max="80" width="2.109375" hidden="1" customWidth="1"/>
    <col min="81" max="102" width="2.77734375" hidden="1" customWidth="1"/>
    <col min="103" max="111" width="2.109375" hidden="1" customWidth="1"/>
    <col min="112" max="120" width="2.77734375" hidden="1" customWidth="1"/>
    <col min="121" max="133" width="2.77734375" bestFit="1" customWidth="1"/>
    <col min="134" max="142" width="2.109375" bestFit="1" customWidth="1"/>
    <col min="143" max="161" width="2.77734375" bestFit="1" customWidth="1"/>
    <col min="162" max="170" width="2.109375" bestFit="1" customWidth="1"/>
    <col min="171" max="183" width="2.77734375" bestFit="1" customWidth="1"/>
  </cols>
  <sheetData>
    <row r="1" spans="1:183" ht="30" customHeight="1">
      <c r="A1" s="5" t="s">
        <v>0</v>
      </c>
      <c r="B1" s="48" t="s">
        <v>1</v>
      </c>
      <c r="C1" s="32"/>
      <c r="D1" s="33"/>
      <c r="E1" s="34"/>
      <c r="F1" s="35"/>
      <c r="G1" s="8"/>
      <c r="H1" s="33"/>
      <c r="I1" s="36"/>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row>
    <row r="2" spans="1:183" ht="30" customHeight="1">
      <c r="A2" s="4" t="s">
        <v>2</v>
      </c>
      <c r="B2" s="37"/>
      <c r="C2" s="68" t="s">
        <v>3</v>
      </c>
      <c r="D2" s="69"/>
      <c r="E2" s="70">
        <v>45929</v>
      </c>
      <c r="F2" s="70"/>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row>
    <row r="3" spans="1:183" ht="30" customHeight="1">
      <c r="A3" s="5" t="s">
        <v>4</v>
      </c>
      <c r="B3" s="8"/>
      <c r="C3" s="68" t="s">
        <v>5</v>
      </c>
      <c r="D3" s="69"/>
      <c r="E3" s="9">
        <v>1</v>
      </c>
      <c r="F3" s="10"/>
      <c r="G3" s="8"/>
      <c r="H3" s="8"/>
      <c r="I3" s="56">
        <f>I4</f>
        <v>45929</v>
      </c>
      <c r="J3" s="57"/>
      <c r="K3" s="57"/>
      <c r="L3" s="57"/>
      <c r="M3" s="57"/>
      <c r="N3" s="57"/>
      <c r="O3" s="58"/>
      <c r="P3" s="56">
        <f t="shared" ref="P3" si="0">P4</f>
        <v>45936</v>
      </c>
      <c r="Q3" s="57"/>
      <c r="R3" s="57"/>
      <c r="S3" s="57"/>
      <c r="T3" s="57"/>
      <c r="U3" s="57"/>
      <c r="V3" s="58"/>
      <c r="W3" s="56">
        <f t="shared" ref="W3" si="1">W4</f>
        <v>45943</v>
      </c>
      <c r="X3" s="57"/>
      <c r="Y3" s="57"/>
      <c r="Z3" s="57"/>
      <c r="AA3" s="57"/>
      <c r="AB3" s="57"/>
      <c r="AC3" s="58"/>
      <c r="AD3" s="56">
        <f t="shared" ref="AD3" si="2">AD4</f>
        <v>45950</v>
      </c>
      <c r="AE3" s="57"/>
      <c r="AF3" s="57"/>
      <c r="AG3" s="57"/>
      <c r="AH3" s="57"/>
      <c r="AI3" s="57"/>
      <c r="AJ3" s="58"/>
      <c r="AK3" s="56">
        <f t="shared" ref="AK3" si="3">AK4</f>
        <v>45957</v>
      </c>
      <c r="AL3" s="57"/>
      <c r="AM3" s="57"/>
      <c r="AN3" s="57"/>
      <c r="AO3" s="57"/>
      <c r="AP3" s="57"/>
      <c r="AQ3" s="58"/>
      <c r="AR3" s="56">
        <f t="shared" ref="AR3" si="4">AR4</f>
        <v>45964</v>
      </c>
      <c r="AS3" s="57"/>
      <c r="AT3" s="57"/>
      <c r="AU3" s="57"/>
      <c r="AV3" s="57"/>
      <c r="AW3" s="57"/>
      <c r="AX3" s="58"/>
      <c r="AY3" s="56">
        <f t="shared" ref="AY3" si="5">AY4</f>
        <v>45971</v>
      </c>
      <c r="AZ3" s="57"/>
      <c r="BA3" s="57"/>
      <c r="BB3" s="57"/>
      <c r="BC3" s="57"/>
      <c r="BD3" s="57"/>
      <c r="BE3" s="58"/>
      <c r="BF3" s="56">
        <f t="shared" ref="BF3" si="6">BF4</f>
        <v>45978</v>
      </c>
      <c r="BG3" s="57"/>
      <c r="BH3" s="57"/>
      <c r="BI3" s="57"/>
      <c r="BJ3" s="57"/>
      <c r="BK3" s="57"/>
      <c r="BL3" s="58"/>
      <c r="BM3" s="56">
        <f t="shared" ref="BM3" si="7">BM4</f>
        <v>45985</v>
      </c>
      <c r="BN3" s="57"/>
      <c r="BO3" s="57"/>
      <c r="BP3" s="57"/>
      <c r="BQ3" s="57"/>
      <c r="BR3" s="57"/>
      <c r="BS3" s="58"/>
      <c r="BT3" s="56">
        <f t="shared" ref="BT3" si="8">BT4</f>
        <v>45992</v>
      </c>
      <c r="BU3" s="57"/>
      <c r="BV3" s="57"/>
      <c r="BW3" s="57"/>
      <c r="BX3" s="57"/>
      <c r="BY3" s="57"/>
      <c r="BZ3" s="58"/>
      <c r="CA3" s="56">
        <f t="shared" ref="CA3" si="9">CA4</f>
        <v>45999</v>
      </c>
      <c r="CB3" s="57"/>
      <c r="CC3" s="57"/>
      <c r="CD3" s="57"/>
      <c r="CE3" s="57"/>
      <c r="CF3" s="57"/>
      <c r="CG3" s="58"/>
      <c r="CH3" s="56">
        <f t="shared" ref="CH3" si="10">CH4</f>
        <v>46006</v>
      </c>
      <c r="CI3" s="57"/>
      <c r="CJ3" s="57"/>
      <c r="CK3" s="57"/>
      <c r="CL3" s="57"/>
      <c r="CM3" s="57"/>
      <c r="CN3" s="58"/>
      <c r="CO3" s="56">
        <f t="shared" ref="CO3" si="11">CO4</f>
        <v>46013</v>
      </c>
      <c r="CP3" s="57"/>
      <c r="CQ3" s="57"/>
      <c r="CR3" s="57"/>
      <c r="CS3" s="57"/>
      <c r="CT3" s="57"/>
      <c r="CU3" s="58"/>
      <c r="CV3" s="56">
        <f t="shared" ref="CV3" si="12">CV4</f>
        <v>46020</v>
      </c>
      <c r="CW3" s="57"/>
      <c r="CX3" s="57"/>
      <c r="CY3" s="57"/>
      <c r="CZ3" s="57"/>
      <c r="DA3" s="57"/>
      <c r="DB3" s="58"/>
      <c r="DC3" s="56">
        <f t="shared" ref="DC3" si="13">DC4</f>
        <v>46027</v>
      </c>
      <c r="DD3" s="57"/>
      <c r="DE3" s="57"/>
      <c r="DF3" s="57"/>
      <c r="DG3" s="57"/>
      <c r="DH3" s="57"/>
      <c r="DI3" s="58"/>
      <c r="DJ3" s="56">
        <f t="shared" ref="DJ3" si="14">DJ4</f>
        <v>46034</v>
      </c>
      <c r="DK3" s="57"/>
      <c r="DL3" s="57"/>
      <c r="DM3" s="57"/>
      <c r="DN3" s="57"/>
      <c r="DO3" s="57"/>
      <c r="DP3" s="58"/>
      <c r="DQ3" s="56">
        <f t="shared" ref="DQ3" si="15">DQ4</f>
        <v>46041</v>
      </c>
      <c r="DR3" s="57"/>
      <c r="DS3" s="57"/>
      <c r="DT3" s="57"/>
      <c r="DU3" s="57"/>
      <c r="DV3" s="57"/>
      <c r="DW3" s="58"/>
      <c r="DX3" s="56">
        <f t="shared" ref="DX3" si="16">DX4</f>
        <v>46048</v>
      </c>
      <c r="DY3" s="57"/>
      <c r="DZ3" s="57"/>
      <c r="EA3" s="57"/>
      <c r="EB3" s="57"/>
      <c r="EC3" s="57"/>
      <c r="ED3" s="58"/>
      <c r="EE3" s="56">
        <f t="shared" ref="EE3" si="17">EE4</f>
        <v>46055</v>
      </c>
      <c r="EF3" s="57"/>
      <c r="EG3" s="57"/>
      <c r="EH3" s="57"/>
      <c r="EI3" s="57"/>
      <c r="EJ3" s="57"/>
      <c r="EK3" s="58"/>
      <c r="EL3" s="56">
        <f t="shared" ref="EL3" si="18">EL4</f>
        <v>46062</v>
      </c>
      <c r="EM3" s="57"/>
      <c r="EN3" s="57"/>
      <c r="EO3" s="57"/>
      <c r="EP3" s="57"/>
      <c r="EQ3" s="57"/>
      <c r="ER3" s="58"/>
      <c r="ES3" s="56">
        <f t="shared" ref="ES3" si="19">ES4</f>
        <v>46069</v>
      </c>
      <c r="ET3" s="57"/>
      <c r="EU3" s="57"/>
      <c r="EV3" s="57"/>
      <c r="EW3" s="57"/>
      <c r="EX3" s="57"/>
      <c r="EY3" s="58"/>
      <c r="EZ3" s="56">
        <f t="shared" ref="EZ3" si="20">EZ4</f>
        <v>46076</v>
      </c>
      <c r="FA3" s="57"/>
      <c r="FB3" s="57"/>
      <c r="FC3" s="57"/>
      <c r="FD3" s="57"/>
      <c r="FE3" s="57"/>
      <c r="FF3" s="58"/>
      <c r="FG3" s="56">
        <f t="shared" ref="FG3" si="21">FG4</f>
        <v>46083</v>
      </c>
      <c r="FH3" s="57"/>
      <c r="FI3" s="57"/>
      <c r="FJ3" s="57"/>
      <c r="FK3" s="57"/>
      <c r="FL3" s="57"/>
      <c r="FM3" s="58"/>
      <c r="FN3" s="56">
        <f t="shared" ref="FN3" si="22">FN4</f>
        <v>46090</v>
      </c>
      <c r="FO3" s="57"/>
      <c r="FP3" s="57"/>
      <c r="FQ3" s="57"/>
      <c r="FR3" s="57"/>
      <c r="FS3" s="57"/>
      <c r="FT3" s="58"/>
      <c r="FU3" s="56">
        <f t="shared" ref="FU3" si="23">FU4</f>
        <v>46097</v>
      </c>
      <c r="FV3" s="57"/>
      <c r="FW3" s="57"/>
      <c r="FX3" s="57"/>
      <c r="FY3" s="57"/>
      <c r="FZ3" s="57"/>
      <c r="GA3" s="58"/>
    </row>
    <row r="4" spans="1:183" ht="15" customHeight="1">
      <c r="A4" s="5" t="s">
        <v>6</v>
      </c>
      <c r="B4" s="18"/>
      <c r="C4" s="18"/>
      <c r="D4" s="18"/>
      <c r="E4" s="18"/>
      <c r="F4" s="18"/>
      <c r="G4" s="18"/>
      <c r="H4" s="8"/>
      <c r="I4" s="19">
        <f>项目开始-WEEKDAY(项目开始,1)+2+7*(显示周数-1)</f>
        <v>45929</v>
      </c>
      <c r="J4" s="20">
        <f>I4+1</f>
        <v>45930</v>
      </c>
      <c r="K4" s="20">
        <f t="shared" ref="K4:AX4" si="24">J4+1</f>
        <v>45931</v>
      </c>
      <c r="L4" s="20">
        <f t="shared" si="24"/>
        <v>45932</v>
      </c>
      <c r="M4" s="20">
        <f t="shared" si="24"/>
        <v>45933</v>
      </c>
      <c r="N4" s="20">
        <f t="shared" si="24"/>
        <v>45934</v>
      </c>
      <c r="O4" s="21">
        <f t="shared" si="24"/>
        <v>45935</v>
      </c>
      <c r="P4" s="19">
        <f>O4+1</f>
        <v>45936</v>
      </c>
      <c r="Q4" s="20">
        <f>P4+1</f>
        <v>45937</v>
      </c>
      <c r="R4" s="20">
        <f t="shared" si="24"/>
        <v>45938</v>
      </c>
      <c r="S4" s="20">
        <f t="shared" si="24"/>
        <v>45939</v>
      </c>
      <c r="T4" s="20">
        <f t="shared" si="24"/>
        <v>45940</v>
      </c>
      <c r="U4" s="20">
        <f t="shared" si="24"/>
        <v>45941</v>
      </c>
      <c r="V4" s="21">
        <f t="shared" si="24"/>
        <v>45942</v>
      </c>
      <c r="W4" s="19">
        <f>V4+1</f>
        <v>45943</v>
      </c>
      <c r="X4" s="20">
        <f>W4+1</f>
        <v>45944</v>
      </c>
      <c r="Y4" s="20">
        <f t="shared" si="24"/>
        <v>45945</v>
      </c>
      <c r="Z4" s="20">
        <f t="shared" si="24"/>
        <v>45946</v>
      </c>
      <c r="AA4" s="20">
        <f t="shared" si="24"/>
        <v>45947</v>
      </c>
      <c r="AB4" s="20">
        <f t="shared" si="24"/>
        <v>45948</v>
      </c>
      <c r="AC4" s="21">
        <f t="shared" si="24"/>
        <v>45949</v>
      </c>
      <c r="AD4" s="19">
        <f>AC4+1</f>
        <v>45950</v>
      </c>
      <c r="AE4" s="20">
        <f>AD4+1</f>
        <v>45951</v>
      </c>
      <c r="AF4" s="20">
        <f t="shared" si="24"/>
        <v>45952</v>
      </c>
      <c r="AG4" s="20">
        <f t="shared" si="24"/>
        <v>45953</v>
      </c>
      <c r="AH4" s="20">
        <f t="shared" si="24"/>
        <v>45954</v>
      </c>
      <c r="AI4" s="20">
        <f t="shared" si="24"/>
        <v>45955</v>
      </c>
      <c r="AJ4" s="21">
        <f t="shared" si="24"/>
        <v>45956</v>
      </c>
      <c r="AK4" s="19">
        <f>AJ4+1</f>
        <v>45957</v>
      </c>
      <c r="AL4" s="20">
        <f>AK4+1</f>
        <v>45958</v>
      </c>
      <c r="AM4" s="20">
        <f>AL4+1</f>
        <v>45959</v>
      </c>
      <c r="AN4" s="20">
        <f>AM4+1</f>
        <v>45960</v>
      </c>
      <c r="AO4" s="20">
        <f t="shared" si="24"/>
        <v>45961</v>
      </c>
      <c r="AP4" s="20">
        <f t="shared" si="24"/>
        <v>45962</v>
      </c>
      <c r="AQ4" s="21">
        <f t="shared" si="24"/>
        <v>45963</v>
      </c>
      <c r="AR4" s="19">
        <f>AQ4+1</f>
        <v>45964</v>
      </c>
      <c r="AS4" s="20">
        <f>AR4+1</f>
        <v>45965</v>
      </c>
      <c r="AT4" s="20">
        <f t="shared" si="24"/>
        <v>45966</v>
      </c>
      <c r="AU4" s="20">
        <f t="shared" si="24"/>
        <v>45967</v>
      </c>
      <c r="AV4" s="20">
        <f t="shared" si="24"/>
        <v>45968</v>
      </c>
      <c r="AW4" s="20">
        <f t="shared" si="24"/>
        <v>45969</v>
      </c>
      <c r="AX4" s="21">
        <f t="shared" si="24"/>
        <v>45970</v>
      </c>
      <c r="AY4" s="19">
        <f t="shared" ref="AY4:BL4" si="25">AX4+1</f>
        <v>45971</v>
      </c>
      <c r="AZ4" s="20">
        <f t="shared" si="25"/>
        <v>45972</v>
      </c>
      <c r="BA4" s="20">
        <f t="shared" si="25"/>
        <v>45973</v>
      </c>
      <c r="BB4" s="20">
        <f t="shared" si="25"/>
        <v>45974</v>
      </c>
      <c r="BC4" s="20">
        <f t="shared" si="25"/>
        <v>45975</v>
      </c>
      <c r="BD4" s="20">
        <f t="shared" si="25"/>
        <v>45976</v>
      </c>
      <c r="BE4" s="21">
        <f t="shared" si="25"/>
        <v>45977</v>
      </c>
      <c r="BF4" s="19">
        <f t="shared" si="25"/>
        <v>45978</v>
      </c>
      <c r="BG4" s="20">
        <f t="shared" si="25"/>
        <v>45979</v>
      </c>
      <c r="BH4" s="20">
        <f t="shared" si="25"/>
        <v>45980</v>
      </c>
      <c r="BI4" s="20">
        <f t="shared" si="25"/>
        <v>45981</v>
      </c>
      <c r="BJ4" s="20">
        <f t="shared" si="25"/>
        <v>45982</v>
      </c>
      <c r="BK4" s="20">
        <f t="shared" si="25"/>
        <v>45983</v>
      </c>
      <c r="BL4" s="21">
        <f t="shared" si="25"/>
        <v>45984</v>
      </c>
      <c r="BM4" s="19">
        <f t="shared" ref="BM4" si="26">BL4+1</f>
        <v>45985</v>
      </c>
      <c r="BN4" s="20">
        <f t="shared" ref="BN4" si="27">BM4+1</f>
        <v>45986</v>
      </c>
      <c r="BO4" s="20">
        <f t="shared" ref="BO4" si="28">BN4+1</f>
        <v>45987</v>
      </c>
      <c r="BP4" s="20">
        <f t="shared" ref="BP4" si="29">BO4+1</f>
        <v>45988</v>
      </c>
      <c r="BQ4" s="20">
        <f t="shared" ref="BQ4" si="30">BP4+1</f>
        <v>45989</v>
      </c>
      <c r="BR4" s="20">
        <f t="shared" ref="BR4" si="31">BQ4+1</f>
        <v>45990</v>
      </c>
      <c r="BS4" s="21">
        <f t="shared" ref="BS4" si="32">BR4+1</f>
        <v>45991</v>
      </c>
      <c r="BT4" s="19">
        <f t="shared" ref="BT4" si="33">BS4+1</f>
        <v>45992</v>
      </c>
      <c r="BU4" s="20">
        <f t="shared" ref="BU4" si="34">BT4+1</f>
        <v>45993</v>
      </c>
      <c r="BV4" s="20">
        <f t="shared" ref="BV4" si="35">BU4+1</f>
        <v>45994</v>
      </c>
      <c r="BW4" s="20">
        <f t="shared" ref="BW4" si="36">BV4+1</f>
        <v>45995</v>
      </c>
      <c r="BX4" s="20">
        <f t="shared" ref="BX4" si="37">BW4+1</f>
        <v>45996</v>
      </c>
      <c r="BY4" s="20">
        <f t="shared" ref="BY4" si="38">BX4+1</f>
        <v>45997</v>
      </c>
      <c r="BZ4" s="21">
        <f t="shared" ref="BZ4" si="39">BY4+1</f>
        <v>45998</v>
      </c>
      <c r="CA4" s="19">
        <f t="shared" ref="CA4" si="40">BZ4+1</f>
        <v>45999</v>
      </c>
      <c r="CB4" s="20">
        <f t="shared" ref="CB4" si="41">CA4+1</f>
        <v>46000</v>
      </c>
      <c r="CC4" s="20">
        <f t="shared" ref="CC4" si="42">CB4+1</f>
        <v>46001</v>
      </c>
      <c r="CD4" s="20">
        <f t="shared" ref="CD4" si="43">CC4+1</f>
        <v>46002</v>
      </c>
      <c r="CE4" s="20">
        <f t="shared" ref="CE4" si="44">CD4+1</f>
        <v>46003</v>
      </c>
      <c r="CF4" s="20">
        <f t="shared" ref="CF4" si="45">CE4+1</f>
        <v>46004</v>
      </c>
      <c r="CG4" s="21">
        <f t="shared" ref="CG4" si="46">CF4+1</f>
        <v>46005</v>
      </c>
      <c r="CH4" s="19">
        <f t="shared" ref="CH4" si="47">CG4+1</f>
        <v>46006</v>
      </c>
      <c r="CI4" s="20">
        <f t="shared" ref="CI4" si="48">CH4+1</f>
        <v>46007</v>
      </c>
      <c r="CJ4" s="20">
        <f t="shared" ref="CJ4" si="49">CI4+1</f>
        <v>46008</v>
      </c>
      <c r="CK4" s="20">
        <f t="shared" ref="CK4" si="50">CJ4+1</f>
        <v>46009</v>
      </c>
      <c r="CL4" s="20">
        <f t="shared" ref="CL4" si="51">CK4+1</f>
        <v>46010</v>
      </c>
      <c r="CM4" s="20">
        <f t="shared" ref="CM4" si="52">CL4+1</f>
        <v>46011</v>
      </c>
      <c r="CN4" s="21">
        <f t="shared" ref="CN4" si="53">CM4+1</f>
        <v>46012</v>
      </c>
      <c r="CO4" s="19">
        <f t="shared" ref="CO4" si="54">CN4+1</f>
        <v>46013</v>
      </c>
      <c r="CP4" s="20">
        <f t="shared" ref="CP4" si="55">CO4+1</f>
        <v>46014</v>
      </c>
      <c r="CQ4" s="20">
        <f t="shared" ref="CQ4" si="56">CP4+1</f>
        <v>46015</v>
      </c>
      <c r="CR4" s="20">
        <f t="shared" ref="CR4" si="57">CQ4+1</f>
        <v>46016</v>
      </c>
      <c r="CS4" s="20">
        <f t="shared" ref="CS4" si="58">CR4+1</f>
        <v>46017</v>
      </c>
      <c r="CT4" s="20">
        <f t="shared" ref="CT4" si="59">CS4+1</f>
        <v>46018</v>
      </c>
      <c r="CU4" s="21">
        <f t="shared" ref="CU4" si="60">CT4+1</f>
        <v>46019</v>
      </c>
      <c r="CV4" s="19">
        <f t="shared" ref="CV4" si="61">CU4+1</f>
        <v>46020</v>
      </c>
      <c r="CW4" s="20">
        <f t="shared" ref="CW4" si="62">CV4+1</f>
        <v>46021</v>
      </c>
      <c r="CX4" s="20">
        <f t="shared" ref="CX4" si="63">CW4+1</f>
        <v>46022</v>
      </c>
      <c r="CY4" s="20">
        <f t="shared" ref="CY4" si="64">CX4+1</f>
        <v>46023</v>
      </c>
      <c r="CZ4" s="20">
        <f t="shared" ref="CZ4" si="65">CY4+1</f>
        <v>46024</v>
      </c>
      <c r="DA4" s="20">
        <f t="shared" ref="DA4" si="66">CZ4+1</f>
        <v>46025</v>
      </c>
      <c r="DB4" s="21">
        <f t="shared" ref="DB4" si="67">DA4+1</f>
        <v>46026</v>
      </c>
      <c r="DC4" s="19">
        <f t="shared" ref="DC4" si="68">DB4+1</f>
        <v>46027</v>
      </c>
      <c r="DD4" s="20">
        <f t="shared" ref="DD4" si="69">DC4+1</f>
        <v>46028</v>
      </c>
      <c r="DE4" s="20">
        <f t="shared" ref="DE4" si="70">DD4+1</f>
        <v>46029</v>
      </c>
      <c r="DF4" s="20">
        <f t="shared" ref="DF4" si="71">DE4+1</f>
        <v>46030</v>
      </c>
      <c r="DG4" s="20">
        <f t="shared" ref="DG4" si="72">DF4+1</f>
        <v>46031</v>
      </c>
      <c r="DH4" s="20">
        <f t="shared" ref="DH4" si="73">DG4+1</f>
        <v>46032</v>
      </c>
      <c r="DI4" s="21">
        <f t="shared" ref="DI4" si="74">DH4+1</f>
        <v>46033</v>
      </c>
      <c r="DJ4" s="19">
        <f t="shared" ref="DJ4" si="75">DI4+1</f>
        <v>46034</v>
      </c>
      <c r="DK4" s="20">
        <f t="shared" ref="DK4" si="76">DJ4+1</f>
        <v>46035</v>
      </c>
      <c r="DL4" s="20">
        <f t="shared" ref="DL4" si="77">DK4+1</f>
        <v>46036</v>
      </c>
      <c r="DM4" s="20">
        <f t="shared" ref="DM4" si="78">DL4+1</f>
        <v>46037</v>
      </c>
      <c r="DN4" s="20">
        <f t="shared" ref="DN4" si="79">DM4+1</f>
        <v>46038</v>
      </c>
      <c r="DO4" s="20">
        <f t="shared" ref="DO4" si="80">DN4+1</f>
        <v>46039</v>
      </c>
      <c r="DP4" s="21">
        <f t="shared" ref="DP4" si="81">DO4+1</f>
        <v>46040</v>
      </c>
      <c r="DQ4" s="19">
        <f>DP4+1</f>
        <v>46041</v>
      </c>
      <c r="DR4" s="20">
        <f t="shared" ref="DR4" si="82">DQ4+1</f>
        <v>46042</v>
      </c>
      <c r="DS4" s="20">
        <f t="shared" ref="DS4" si="83">DR4+1</f>
        <v>46043</v>
      </c>
      <c r="DT4" s="20">
        <f t="shared" ref="DT4" si="84">DS4+1</f>
        <v>46044</v>
      </c>
      <c r="DU4" s="20">
        <f t="shared" ref="DU4" si="85">DT4+1</f>
        <v>46045</v>
      </c>
      <c r="DV4" s="20">
        <f t="shared" ref="DV4" si="86">DU4+1</f>
        <v>46046</v>
      </c>
      <c r="DW4" s="21">
        <f t="shared" ref="DW4" si="87">DV4+1</f>
        <v>46047</v>
      </c>
      <c r="DX4" s="19">
        <f t="shared" ref="DX4" si="88">DW4+1</f>
        <v>46048</v>
      </c>
      <c r="DY4" s="20">
        <f t="shared" ref="DY4" si="89">DX4+1</f>
        <v>46049</v>
      </c>
      <c r="DZ4" s="20">
        <f t="shared" ref="DZ4" si="90">DY4+1</f>
        <v>46050</v>
      </c>
      <c r="EA4" s="20">
        <f t="shared" ref="EA4" si="91">DZ4+1</f>
        <v>46051</v>
      </c>
      <c r="EB4" s="20">
        <f t="shared" ref="EB4" si="92">EA4+1</f>
        <v>46052</v>
      </c>
      <c r="EC4" s="20">
        <f t="shared" ref="EC4" si="93">EB4+1</f>
        <v>46053</v>
      </c>
      <c r="ED4" s="21">
        <f t="shared" ref="ED4" si="94">EC4+1</f>
        <v>46054</v>
      </c>
      <c r="EE4" s="19">
        <f t="shared" ref="EE4" si="95">ED4+1</f>
        <v>46055</v>
      </c>
      <c r="EF4" s="20">
        <f t="shared" ref="EF4" si="96">EE4+1</f>
        <v>46056</v>
      </c>
      <c r="EG4" s="20">
        <f t="shared" ref="EG4" si="97">EF4+1</f>
        <v>46057</v>
      </c>
      <c r="EH4" s="20">
        <f t="shared" ref="EH4" si="98">EG4+1</f>
        <v>46058</v>
      </c>
      <c r="EI4" s="20">
        <f t="shared" ref="EI4" si="99">EH4+1</f>
        <v>46059</v>
      </c>
      <c r="EJ4" s="20">
        <f t="shared" ref="EJ4" si="100">EI4+1</f>
        <v>46060</v>
      </c>
      <c r="EK4" s="21">
        <f t="shared" ref="EK4" si="101">EJ4+1</f>
        <v>46061</v>
      </c>
      <c r="EL4" s="19">
        <f t="shared" ref="EL4" si="102">EK4+1</f>
        <v>46062</v>
      </c>
      <c r="EM4" s="20">
        <f t="shared" ref="EM4" si="103">EL4+1</f>
        <v>46063</v>
      </c>
      <c r="EN4" s="20">
        <f t="shared" ref="EN4" si="104">EM4+1</f>
        <v>46064</v>
      </c>
      <c r="EO4" s="20">
        <f t="shared" ref="EO4" si="105">EN4+1</f>
        <v>46065</v>
      </c>
      <c r="EP4" s="20">
        <f t="shared" ref="EP4" si="106">EO4+1</f>
        <v>46066</v>
      </c>
      <c r="EQ4" s="20">
        <f t="shared" ref="EQ4" si="107">EP4+1</f>
        <v>46067</v>
      </c>
      <c r="ER4" s="21">
        <f t="shared" ref="ER4" si="108">EQ4+1</f>
        <v>46068</v>
      </c>
      <c r="ES4" s="19">
        <f t="shared" ref="ES4" si="109">ER4+1</f>
        <v>46069</v>
      </c>
      <c r="ET4" s="20">
        <f t="shared" ref="ET4" si="110">ES4+1</f>
        <v>46070</v>
      </c>
      <c r="EU4" s="20">
        <f t="shared" ref="EU4" si="111">ET4+1</f>
        <v>46071</v>
      </c>
      <c r="EV4" s="20">
        <f t="shared" ref="EV4" si="112">EU4+1</f>
        <v>46072</v>
      </c>
      <c r="EW4" s="20">
        <f t="shared" ref="EW4" si="113">EV4+1</f>
        <v>46073</v>
      </c>
      <c r="EX4" s="20">
        <f t="shared" ref="EX4" si="114">EW4+1</f>
        <v>46074</v>
      </c>
      <c r="EY4" s="21">
        <f t="shared" ref="EY4" si="115">EX4+1</f>
        <v>46075</v>
      </c>
      <c r="EZ4" s="19">
        <f t="shared" ref="EZ4" si="116">EY4+1</f>
        <v>46076</v>
      </c>
      <c r="FA4" s="20">
        <f t="shared" ref="FA4" si="117">EZ4+1</f>
        <v>46077</v>
      </c>
      <c r="FB4" s="20">
        <f t="shared" ref="FB4" si="118">FA4+1</f>
        <v>46078</v>
      </c>
      <c r="FC4" s="20">
        <f t="shared" ref="FC4" si="119">FB4+1</f>
        <v>46079</v>
      </c>
      <c r="FD4" s="20">
        <f t="shared" ref="FD4" si="120">FC4+1</f>
        <v>46080</v>
      </c>
      <c r="FE4" s="20">
        <f t="shared" ref="FE4" si="121">FD4+1</f>
        <v>46081</v>
      </c>
      <c r="FF4" s="21">
        <f t="shared" ref="FF4" si="122">FE4+1</f>
        <v>46082</v>
      </c>
      <c r="FG4" s="19">
        <f t="shared" ref="FG4" si="123">FF4+1</f>
        <v>46083</v>
      </c>
      <c r="FH4" s="20">
        <f t="shared" ref="FH4" si="124">FG4+1</f>
        <v>46084</v>
      </c>
      <c r="FI4" s="20">
        <f t="shared" ref="FI4" si="125">FH4+1</f>
        <v>46085</v>
      </c>
      <c r="FJ4" s="20">
        <f t="shared" ref="FJ4" si="126">FI4+1</f>
        <v>46086</v>
      </c>
      <c r="FK4" s="20">
        <f t="shared" ref="FK4" si="127">FJ4+1</f>
        <v>46087</v>
      </c>
      <c r="FL4" s="20">
        <f t="shared" ref="FL4" si="128">FK4+1</f>
        <v>46088</v>
      </c>
      <c r="FM4" s="21">
        <f t="shared" ref="FM4" si="129">FL4+1</f>
        <v>46089</v>
      </c>
      <c r="FN4" s="19">
        <f t="shared" ref="FN4" si="130">FM4+1</f>
        <v>46090</v>
      </c>
      <c r="FO4" s="20">
        <f t="shared" ref="FO4" si="131">FN4+1</f>
        <v>46091</v>
      </c>
      <c r="FP4" s="20">
        <f t="shared" ref="FP4" si="132">FO4+1</f>
        <v>46092</v>
      </c>
      <c r="FQ4" s="20">
        <f t="shared" ref="FQ4" si="133">FP4+1</f>
        <v>46093</v>
      </c>
      <c r="FR4" s="20">
        <f t="shared" ref="FR4" si="134">FQ4+1</f>
        <v>46094</v>
      </c>
      <c r="FS4" s="20">
        <f t="shared" ref="FS4" si="135">FR4+1</f>
        <v>46095</v>
      </c>
      <c r="FT4" s="21">
        <f t="shared" ref="FT4" si="136">FS4+1</f>
        <v>46096</v>
      </c>
      <c r="FU4" s="19">
        <f t="shared" ref="FU4" si="137">FT4+1</f>
        <v>46097</v>
      </c>
      <c r="FV4" s="20">
        <f t="shared" ref="FV4" si="138">FU4+1</f>
        <v>46098</v>
      </c>
      <c r="FW4" s="20">
        <f t="shared" ref="FW4" si="139">FV4+1</f>
        <v>46099</v>
      </c>
      <c r="FX4" s="20">
        <f t="shared" ref="FX4" si="140">FW4+1</f>
        <v>46100</v>
      </c>
      <c r="FY4" s="20">
        <f t="shared" ref="FY4" si="141">FX4+1</f>
        <v>46101</v>
      </c>
      <c r="FZ4" s="20">
        <f t="shared" ref="FZ4" si="142">FY4+1</f>
        <v>46102</v>
      </c>
      <c r="GA4" s="21">
        <f t="shared" ref="GA4" si="143">FZ4+1</f>
        <v>46103</v>
      </c>
    </row>
    <row r="5" spans="1:183" ht="30" customHeight="1">
      <c r="A5" s="5" t="s">
        <v>7</v>
      </c>
      <c r="B5" s="59" t="s">
        <v>8</v>
      </c>
      <c r="C5" s="59"/>
      <c r="D5" s="24" t="s">
        <v>9</v>
      </c>
      <c r="E5" s="24" t="s">
        <v>10</v>
      </c>
      <c r="F5" s="24" t="s">
        <v>11</v>
      </c>
      <c r="G5" s="22"/>
      <c r="H5" s="22" t="s">
        <v>12</v>
      </c>
      <c r="I5" s="23">
        <v>1</v>
      </c>
      <c r="J5" s="23">
        <v>2</v>
      </c>
      <c r="K5" s="23">
        <v>3</v>
      </c>
      <c r="L5" s="23">
        <v>4</v>
      </c>
      <c r="M5" s="23">
        <v>5</v>
      </c>
      <c r="N5" s="23">
        <v>6</v>
      </c>
      <c r="O5" s="23">
        <v>7</v>
      </c>
      <c r="P5" s="23">
        <v>1</v>
      </c>
      <c r="Q5" s="23">
        <v>2</v>
      </c>
      <c r="R5" s="23">
        <v>3</v>
      </c>
      <c r="S5" s="23">
        <v>4</v>
      </c>
      <c r="T5" s="23">
        <v>5</v>
      </c>
      <c r="U5" s="23">
        <v>6</v>
      </c>
      <c r="V5" s="23">
        <v>7</v>
      </c>
      <c r="W5" s="23">
        <v>1</v>
      </c>
      <c r="X5" s="23">
        <v>2</v>
      </c>
      <c r="Y5" s="23">
        <v>3</v>
      </c>
      <c r="Z5" s="23">
        <v>4</v>
      </c>
      <c r="AA5" s="23">
        <v>5</v>
      </c>
      <c r="AB5" s="23">
        <v>6</v>
      </c>
      <c r="AC5" s="23">
        <v>7</v>
      </c>
      <c r="AD5" s="23">
        <v>1</v>
      </c>
      <c r="AE5" s="23">
        <v>2</v>
      </c>
      <c r="AF5" s="23">
        <v>3</v>
      </c>
      <c r="AG5" s="23">
        <v>4</v>
      </c>
      <c r="AH5" s="23">
        <v>5</v>
      </c>
      <c r="AI5" s="23">
        <v>6</v>
      </c>
      <c r="AJ5" s="23">
        <v>7</v>
      </c>
      <c r="AK5" s="23">
        <v>1</v>
      </c>
      <c r="AL5" s="23">
        <v>2</v>
      </c>
      <c r="AM5" s="23">
        <v>3</v>
      </c>
      <c r="AN5" s="23">
        <v>4</v>
      </c>
      <c r="AO5" s="23">
        <v>5</v>
      </c>
      <c r="AP5" s="23">
        <v>6</v>
      </c>
      <c r="AQ5" s="23">
        <v>7</v>
      </c>
      <c r="AR5" s="23">
        <v>1</v>
      </c>
      <c r="AS5" s="23">
        <v>2</v>
      </c>
      <c r="AT5" s="23">
        <v>3</v>
      </c>
      <c r="AU5" s="23">
        <v>4</v>
      </c>
      <c r="AV5" s="23">
        <v>5</v>
      </c>
      <c r="AW5" s="23">
        <v>6</v>
      </c>
      <c r="AX5" s="23">
        <v>7</v>
      </c>
      <c r="AY5" s="23">
        <v>1</v>
      </c>
      <c r="AZ5" s="23">
        <v>2</v>
      </c>
      <c r="BA5" s="23">
        <v>3</v>
      </c>
      <c r="BB5" s="23">
        <v>4</v>
      </c>
      <c r="BC5" s="23">
        <v>5</v>
      </c>
      <c r="BD5" s="23">
        <v>6</v>
      </c>
      <c r="BE5" s="23">
        <v>7</v>
      </c>
      <c r="BF5" s="23">
        <v>1</v>
      </c>
      <c r="BG5" s="23">
        <v>2</v>
      </c>
      <c r="BH5" s="23">
        <v>3</v>
      </c>
      <c r="BI5" s="23">
        <v>4</v>
      </c>
      <c r="BJ5" s="23">
        <v>5</v>
      </c>
      <c r="BK5" s="23">
        <v>6</v>
      </c>
      <c r="BL5" s="23">
        <v>7</v>
      </c>
      <c r="BM5" s="23">
        <v>1</v>
      </c>
      <c r="BN5" s="23">
        <v>2</v>
      </c>
      <c r="BO5" s="23">
        <v>3</v>
      </c>
      <c r="BP5" s="23">
        <v>4</v>
      </c>
      <c r="BQ5" s="23">
        <v>5</v>
      </c>
      <c r="BR5" s="23">
        <v>6</v>
      </c>
      <c r="BS5" s="23">
        <v>7</v>
      </c>
      <c r="BT5" s="23">
        <v>1</v>
      </c>
      <c r="BU5" s="23">
        <v>2</v>
      </c>
      <c r="BV5" s="23">
        <v>3</v>
      </c>
      <c r="BW5" s="23">
        <v>4</v>
      </c>
      <c r="BX5" s="23">
        <v>5</v>
      </c>
      <c r="BY5" s="23">
        <v>6</v>
      </c>
      <c r="BZ5" s="23">
        <v>7</v>
      </c>
      <c r="CA5" s="23">
        <v>1</v>
      </c>
      <c r="CB5" s="23">
        <v>2</v>
      </c>
      <c r="CC5" s="23">
        <v>3</v>
      </c>
      <c r="CD5" s="23">
        <v>4</v>
      </c>
      <c r="CE5" s="23">
        <v>5</v>
      </c>
      <c r="CF5" s="23">
        <v>6</v>
      </c>
      <c r="CG5" s="23">
        <v>7</v>
      </c>
      <c r="CH5" s="23">
        <v>1</v>
      </c>
      <c r="CI5" s="23">
        <v>2</v>
      </c>
      <c r="CJ5" s="23">
        <v>3</v>
      </c>
      <c r="CK5" s="23">
        <v>4</v>
      </c>
      <c r="CL5" s="23">
        <v>5</v>
      </c>
      <c r="CM5" s="23">
        <v>6</v>
      </c>
      <c r="CN5" s="23">
        <v>7</v>
      </c>
      <c r="CO5" s="23">
        <v>1</v>
      </c>
      <c r="CP5" s="23">
        <v>2</v>
      </c>
      <c r="CQ5" s="23">
        <v>3</v>
      </c>
      <c r="CR5" s="23">
        <v>4</v>
      </c>
      <c r="CS5" s="23">
        <v>5</v>
      </c>
      <c r="CT5" s="23">
        <v>6</v>
      </c>
      <c r="CU5" s="23">
        <v>7</v>
      </c>
      <c r="CV5" s="23">
        <v>1</v>
      </c>
      <c r="CW5" s="23">
        <v>2</v>
      </c>
      <c r="CX5" s="23">
        <v>3</v>
      </c>
      <c r="CY5" s="23">
        <v>4</v>
      </c>
      <c r="CZ5" s="23">
        <v>5</v>
      </c>
      <c r="DA5" s="23">
        <v>6</v>
      </c>
      <c r="DB5" s="23">
        <v>7</v>
      </c>
      <c r="DC5" s="23">
        <v>1</v>
      </c>
      <c r="DD5" s="23">
        <v>2</v>
      </c>
      <c r="DE5" s="23">
        <v>3</v>
      </c>
      <c r="DF5" s="23">
        <v>4</v>
      </c>
      <c r="DG5" s="23">
        <v>5</v>
      </c>
      <c r="DH5" s="23">
        <v>6</v>
      </c>
      <c r="DI5" s="23">
        <v>7</v>
      </c>
      <c r="DJ5" s="23">
        <v>1</v>
      </c>
      <c r="DK5" s="23">
        <v>2</v>
      </c>
      <c r="DL5" s="23">
        <v>3</v>
      </c>
      <c r="DM5" s="23">
        <v>4</v>
      </c>
      <c r="DN5" s="23">
        <v>5</v>
      </c>
      <c r="DO5" s="23">
        <v>6</v>
      </c>
      <c r="DP5" s="23">
        <v>7</v>
      </c>
      <c r="DQ5" s="23">
        <v>1</v>
      </c>
      <c r="DR5" s="23">
        <v>2</v>
      </c>
      <c r="DS5" s="23">
        <v>3</v>
      </c>
      <c r="DT5" s="23">
        <v>4</v>
      </c>
      <c r="DU5" s="23">
        <v>5</v>
      </c>
      <c r="DV5" s="23">
        <v>6</v>
      </c>
      <c r="DW5" s="23">
        <v>7</v>
      </c>
      <c r="DX5" s="23">
        <v>1</v>
      </c>
      <c r="DY5" s="23">
        <v>2</v>
      </c>
      <c r="DZ5" s="23">
        <v>3</v>
      </c>
      <c r="EA5" s="23">
        <v>4</v>
      </c>
      <c r="EB5" s="23">
        <v>5</v>
      </c>
      <c r="EC5" s="23">
        <v>6</v>
      </c>
      <c r="ED5" s="23">
        <v>7</v>
      </c>
      <c r="EE5" s="23">
        <v>1</v>
      </c>
      <c r="EF5" s="23">
        <v>2</v>
      </c>
      <c r="EG5" s="23">
        <v>3</v>
      </c>
      <c r="EH5" s="23">
        <v>4</v>
      </c>
      <c r="EI5" s="23">
        <v>5</v>
      </c>
      <c r="EJ5" s="23">
        <v>6</v>
      </c>
      <c r="EK5" s="23">
        <v>7</v>
      </c>
      <c r="EL5" s="23">
        <v>1</v>
      </c>
      <c r="EM5" s="23">
        <v>2</v>
      </c>
      <c r="EN5" s="23">
        <v>3</v>
      </c>
      <c r="EO5" s="23">
        <v>4</v>
      </c>
      <c r="EP5" s="23">
        <v>5</v>
      </c>
      <c r="EQ5" s="23">
        <v>6</v>
      </c>
      <c r="ER5" s="23">
        <v>7</v>
      </c>
      <c r="ES5" s="23">
        <v>1</v>
      </c>
      <c r="ET5" s="23">
        <v>2</v>
      </c>
      <c r="EU5" s="23">
        <v>3</v>
      </c>
      <c r="EV5" s="23">
        <v>4</v>
      </c>
      <c r="EW5" s="23">
        <v>5</v>
      </c>
      <c r="EX5" s="23">
        <v>6</v>
      </c>
      <c r="EY5" s="23">
        <v>7</v>
      </c>
      <c r="EZ5" s="23">
        <v>1</v>
      </c>
      <c r="FA5" s="23">
        <v>2</v>
      </c>
      <c r="FB5" s="23">
        <v>3</v>
      </c>
      <c r="FC5" s="23">
        <v>4</v>
      </c>
      <c r="FD5" s="23">
        <v>5</v>
      </c>
      <c r="FE5" s="23">
        <v>6</v>
      </c>
      <c r="FF5" s="23">
        <v>7</v>
      </c>
      <c r="FG5" s="23">
        <v>1</v>
      </c>
      <c r="FH5" s="23">
        <v>2</v>
      </c>
      <c r="FI5" s="23">
        <v>3</v>
      </c>
      <c r="FJ5" s="23">
        <v>4</v>
      </c>
      <c r="FK5" s="23">
        <v>5</v>
      </c>
      <c r="FL5" s="23">
        <v>6</v>
      </c>
      <c r="FM5" s="23">
        <v>7</v>
      </c>
      <c r="FN5" s="23">
        <v>1</v>
      </c>
      <c r="FO5" s="23">
        <v>2</v>
      </c>
      <c r="FP5" s="23">
        <v>3</v>
      </c>
      <c r="FQ5" s="23">
        <v>4</v>
      </c>
      <c r="FR5" s="23">
        <v>5</v>
      </c>
      <c r="FS5" s="23">
        <v>6</v>
      </c>
      <c r="FT5" s="23">
        <v>7</v>
      </c>
      <c r="FU5" s="23">
        <v>1</v>
      </c>
      <c r="FV5" s="23">
        <v>2</v>
      </c>
      <c r="FW5" s="23">
        <v>3</v>
      </c>
      <c r="FX5" s="23">
        <v>4</v>
      </c>
      <c r="FY5" s="23">
        <v>5</v>
      </c>
      <c r="FZ5" s="23">
        <v>6</v>
      </c>
      <c r="GA5" s="23">
        <v>7</v>
      </c>
    </row>
    <row r="6" spans="1:183" ht="30" hidden="1" customHeight="1">
      <c r="A6" s="4" t="s">
        <v>13</v>
      </c>
      <c r="B6" s="8"/>
      <c r="C6" s="38"/>
      <c r="D6" s="8"/>
      <c r="E6" s="8"/>
      <c r="F6" s="8"/>
      <c r="G6" s="8"/>
      <c r="H6" s="8" t="str">
        <f ca="1">IF(OR(ISBLANK(task_start),ISBLANK(task_end)),"",task_end-task_start+1)</f>
        <v/>
      </c>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row>
    <row r="7" spans="1:183" s="1" customFormat="1" ht="30" customHeight="1">
      <c r="A7" s="5" t="s">
        <v>14</v>
      </c>
      <c r="B7" s="62" t="s">
        <v>15</v>
      </c>
      <c r="C7" s="62"/>
      <c r="D7" s="30">
        <v>1</v>
      </c>
      <c r="E7" s="14">
        <f>项目开始</f>
        <v>45929</v>
      </c>
      <c r="F7" s="14">
        <f>E7+13</f>
        <v>45942</v>
      </c>
      <c r="G7" s="40"/>
      <c r="H7" s="40">
        <f t="shared" ref="H7:H49" ca="1" si="144">IF(OR(ISBLANK(task_start),ISBLANK(task_end)),"",task_end-task_start+1)</f>
        <v>14</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row>
    <row r="8" spans="1:183" s="1" customFormat="1" ht="30" customHeight="1">
      <c r="A8" s="5" t="s">
        <v>16</v>
      </c>
      <c r="B8" s="60" t="s">
        <v>17</v>
      </c>
      <c r="C8" s="60"/>
      <c r="D8" s="11">
        <v>1</v>
      </c>
      <c r="E8" s="31">
        <v>45929</v>
      </c>
      <c r="F8" s="31">
        <f>E8+1</f>
        <v>45930</v>
      </c>
      <c r="G8" s="40"/>
      <c r="H8" s="40">
        <f t="shared" ca="1" si="144"/>
        <v>2</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row>
    <row r="9" spans="1:183" s="1" customFormat="1" ht="30" customHeight="1">
      <c r="A9" s="5"/>
      <c r="B9" s="50" t="s">
        <v>18</v>
      </c>
      <c r="C9" s="50"/>
      <c r="D9" s="11">
        <v>1</v>
      </c>
      <c r="E9" s="31">
        <v>45930</v>
      </c>
      <c r="F9" s="31">
        <f>E9+1</f>
        <v>45931</v>
      </c>
      <c r="G9" s="40"/>
      <c r="H9" s="40"/>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row>
    <row r="10" spans="1:183" s="1" customFormat="1" ht="30" customHeight="1">
      <c r="A10" s="5" t="s">
        <v>19</v>
      </c>
      <c r="B10" s="60" t="s">
        <v>20</v>
      </c>
      <c r="C10" s="60"/>
      <c r="D10" s="11">
        <v>1</v>
      </c>
      <c r="E10" s="31">
        <v>45932</v>
      </c>
      <c r="F10" s="31">
        <f>E10+5</f>
        <v>45937</v>
      </c>
      <c r="G10" s="40"/>
      <c r="H10" s="40">
        <f t="shared" ca="1" si="144"/>
        <v>6</v>
      </c>
      <c r="I10" s="39"/>
      <c r="J10" s="39"/>
      <c r="K10" s="39"/>
      <c r="L10" s="39"/>
      <c r="M10" s="39"/>
      <c r="N10" s="39"/>
      <c r="O10" s="39"/>
      <c r="P10" s="39"/>
      <c r="Q10" s="39"/>
      <c r="R10" s="39"/>
      <c r="S10" s="39"/>
      <c r="T10" s="39"/>
      <c r="U10" s="41"/>
      <c r="V10" s="41"/>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row>
    <row r="11" spans="1:183" s="1" customFormat="1" ht="30" customHeight="1">
      <c r="A11" s="5"/>
      <c r="B11" s="50" t="s">
        <v>21</v>
      </c>
      <c r="C11" s="50"/>
      <c r="D11" s="11">
        <v>1</v>
      </c>
      <c r="E11" s="31">
        <v>45936</v>
      </c>
      <c r="F11" s="31">
        <f>E11+6</f>
        <v>45942</v>
      </c>
      <c r="G11" s="40"/>
      <c r="H11" s="40"/>
      <c r="I11" s="39"/>
      <c r="J11" s="39"/>
      <c r="K11" s="39"/>
      <c r="L11" s="39"/>
      <c r="M11" s="39"/>
      <c r="N11" s="39"/>
      <c r="O11" s="39"/>
      <c r="P11" s="39"/>
      <c r="Q11" s="39"/>
      <c r="R11" s="39"/>
      <c r="S11" s="39"/>
      <c r="T11" s="39"/>
      <c r="U11" s="41"/>
      <c r="V11" s="41"/>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row>
    <row r="12" spans="1:183" s="1" customFormat="1" ht="30" customHeight="1">
      <c r="A12" s="4"/>
      <c r="B12" s="60" t="s">
        <v>22</v>
      </c>
      <c r="C12" s="60"/>
      <c r="D12" s="11">
        <v>1</v>
      </c>
      <c r="E12" s="31">
        <v>45945</v>
      </c>
      <c r="F12" s="31">
        <f>E12</f>
        <v>45945</v>
      </c>
      <c r="G12" s="40"/>
      <c r="H12" s="40">
        <f t="shared" ca="1" si="144"/>
        <v>1</v>
      </c>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row>
    <row r="13" spans="1:183" s="1" customFormat="1" ht="30" customHeight="1">
      <c r="A13" s="5" t="s">
        <v>23</v>
      </c>
      <c r="B13" s="63" t="s">
        <v>24</v>
      </c>
      <c r="C13" s="63"/>
      <c r="D13" s="29">
        <f>AVERAGE(D14+D17+D20+D23+D26+D29)/6</f>
        <v>1</v>
      </c>
      <c r="E13" s="15">
        <v>45936</v>
      </c>
      <c r="F13" s="15">
        <f>E13+41</f>
        <v>45977</v>
      </c>
      <c r="G13" s="40"/>
      <c r="H13" s="40">
        <f t="shared" ca="1" si="144"/>
        <v>42</v>
      </c>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row>
    <row r="14" spans="1:183" s="1" customFormat="1" ht="30" customHeight="1">
      <c r="A14" s="5"/>
      <c r="B14" s="49" t="s">
        <v>25</v>
      </c>
      <c r="C14" s="49"/>
      <c r="D14" s="11">
        <f>AVERAGE(D15:D16)</f>
        <v>1</v>
      </c>
      <c r="E14" s="12">
        <v>45936</v>
      </c>
      <c r="F14" s="12">
        <f>E14+13</f>
        <v>45949</v>
      </c>
      <c r="G14" s="40"/>
      <c r="H14" s="40"/>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row>
    <row r="15" spans="1:183" s="1" customFormat="1" ht="30" customHeight="1">
      <c r="A15" s="5"/>
      <c r="B15" s="49" t="s">
        <v>26</v>
      </c>
      <c r="C15" s="49"/>
      <c r="D15" s="11">
        <v>1</v>
      </c>
      <c r="E15" s="12">
        <v>45936</v>
      </c>
      <c r="F15" s="12">
        <f t="shared" ref="F15:F16" si="145">E15+13</f>
        <v>45949</v>
      </c>
      <c r="G15" s="40"/>
      <c r="H15" s="40"/>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row>
    <row r="16" spans="1:183" s="1" customFormat="1" ht="30" customHeight="1">
      <c r="A16" s="5"/>
      <c r="B16" s="49" t="s">
        <v>27</v>
      </c>
      <c r="C16" s="49"/>
      <c r="D16" s="11">
        <v>1</v>
      </c>
      <c r="E16" s="12">
        <v>45936</v>
      </c>
      <c r="F16" s="12">
        <f t="shared" si="145"/>
        <v>45949</v>
      </c>
      <c r="G16" s="40"/>
      <c r="H16" s="40"/>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row>
    <row r="17" spans="1:183" s="1" customFormat="1" ht="30" customHeight="1">
      <c r="A17" s="5"/>
      <c r="B17" s="49" t="s">
        <v>28</v>
      </c>
      <c r="C17" s="49"/>
      <c r="D17" s="11">
        <f>AVERAGE(D18:D19)</f>
        <v>1</v>
      </c>
      <c r="E17" s="12">
        <v>45950</v>
      </c>
      <c r="F17" s="12">
        <f>E17+6</f>
        <v>45956</v>
      </c>
      <c r="G17" s="40"/>
      <c r="H17" s="40"/>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row>
    <row r="18" spans="1:183" s="1" customFormat="1" ht="30" customHeight="1">
      <c r="A18" s="5"/>
      <c r="B18" s="49" t="s">
        <v>29</v>
      </c>
      <c r="C18" s="49"/>
      <c r="D18" s="11">
        <v>1</v>
      </c>
      <c r="E18" s="12">
        <v>45950</v>
      </c>
      <c r="F18" s="12">
        <f t="shared" ref="F18:F19" si="146">E18+6</f>
        <v>45956</v>
      </c>
      <c r="G18" s="40"/>
      <c r="H18" s="40"/>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39"/>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row>
    <row r="19" spans="1:183" s="1" customFormat="1" ht="30" customHeight="1">
      <c r="A19" s="5"/>
      <c r="B19" s="49" t="s">
        <v>30</v>
      </c>
      <c r="C19" s="49"/>
      <c r="D19" s="11">
        <v>1</v>
      </c>
      <c r="E19" s="12">
        <v>45950</v>
      </c>
      <c r="F19" s="12">
        <f t="shared" si="146"/>
        <v>45956</v>
      </c>
      <c r="G19" s="40"/>
      <c r="H19" s="40"/>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row>
    <row r="20" spans="1:183" s="1" customFormat="1" ht="30" customHeight="1">
      <c r="A20" s="5"/>
      <c r="B20" s="49" t="s">
        <v>31</v>
      </c>
      <c r="C20" s="49"/>
      <c r="D20" s="11">
        <f>AVERAGE(D21:D22)</f>
        <v>1</v>
      </c>
      <c r="E20" s="12">
        <v>45957</v>
      </c>
      <c r="F20" s="12">
        <f>E20+6</f>
        <v>45963</v>
      </c>
      <c r="G20" s="40"/>
      <c r="H20" s="40"/>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row>
    <row r="21" spans="1:183" s="1" customFormat="1" ht="30" customHeight="1">
      <c r="A21" s="5"/>
      <c r="B21" s="49" t="s">
        <v>32</v>
      </c>
      <c r="C21" s="49"/>
      <c r="D21" s="11">
        <v>1</v>
      </c>
      <c r="E21" s="12">
        <v>45957</v>
      </c>
      <c r="F21" s="12">
        <f t="shared" ref="F21:F22" si="147">E21+6</f>
        <v>45963</v>
      </c>
      <c r="G21" s="40"/>
      <c r="H21" s="40"/>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row>
    <row r="22" spans="1:183" s="1" customFormat="1" ht="30" customHeight="1">
      <c r="A22" s="5"/>
      <c r="B22" s="49" t="s">
        <v>33</v>
      </c>
      <c r="C22" s="49"/>
      <c r="D22" s="11">
        <v>1</v>
      </c>
      <c r="E22" s="12">
        <v>45957</v>
      </c>
      <c r="F22" s="12">
        <f t="shared" si="147"/>
        <v>45963</v>
      </c>
      <c r="G22" s="40"/>
      <c r="H22" s="40"/>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row>
    <row r="23" spans="1:183" s="1" customFormat="1" ht="30" customHeight="1">
      <c r="A23" s="5"/>
      <c r="B23" s="49" t="s">
        <v>34</v>
      </c>
      <c r="C23" s="49"/>
      <c r="D23" s="11">
        <f>AVERAGE(D24:D25)</f>
        <v>1</v>
      </c>
      <c r="E23" s="12">
        <v>45964</v>
      </c>
      <c r="F23" s="12">
        <f>E23+6</f>
        <v>45970</v>
      </c>
      <c r="G23" s="40"/>
      <c r="H23" s="40"/>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row>
    <row r="24" spans="1:183" s="1" customFormat="1" ht="30" customHeight="1">
      <c r="A24" s="5"/>
      <c r="B24" s="49" t="s">
        <v>35</v>
      </c>
      <c r="C24" s="49"/>
      <c r="D24" s="11">
        <v>1</v>
      </c>
      <c r="E24" s="12">
        <v>45964</v>
      </c>
      <c r="F24" s="12">
        <f t="shared" ref="F24:F25" si="148">E24+6</f>
        <v>45970</v>
      </c>
      <c r="G24" s="40"/>
      <c r="H24" s="40"/>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row>
    <row r="25" spans="1:183" s="1" customFormat="1" ht="30" customHeight="1">
      <c r="A25" s="5"/>
      <c r="B25" s="49" t="s">
        <v>36</v>
      </c>
      <c r="C25" s="49"/>
      <c r="D25" s="11">
        <v>1</v>
      </c>
      <c r="E25" s="12">
        <v>45964</v>
      </c>
      <c r="F25" s="12">
        <f t="shared" si="148"/>
        <v>45970</v>
      </c>
      <c r="G25" s="40"/>
      <c r="H25" s="40"/>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row>
    <row r="26" spans="1:183" s="1" customFormat="1" ht="30" customHeight="1">
      <c r="A26" s="5"/>
      <c r="B26" s="49" t="s">
        <v>37</v>
      </c>
      <c r="C26" s="49"/>
      <c r="D26" s="11">
        <f>AVERAGE(D27:D28)</f>
        <v>1</v>
      </c>
      <c r="E26" s="12">
        <v>45971</v>
      </c>
      <c r="F26" s="12">
        <f>E26+6</f>
        <v>45977</v>
      </c>
      <c r="G26" s="40"/>
      <c r="H26" s="40"/>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row>
    <row r="27" spans="1:183" s="1" customFormat="1" ht="30" customHeight="1">
      <c r="A27" s="5"/>
      <c r="B27" s="49" t="s">
        <v>38</v>
      </c>
      <c r="C27" s="49"/>
      <c r="D27" s="11">
        <v>1</v>
      </c>
      <c r="E27" s="12">
        <v>45971</v>
      </c>
      <c r="F27" s="12">
        <f t="shared" ref="F27:F28" si="149">E27+6</f>
        <v>45977</v>
      </c>
      <c r="G27" s="40"/>
      <c r="H27" s="40"/>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c r="CI27" s="39"/>
      <c r="CJ27" s="39"/>
      <c r="CK27" s="39"/>
      <c r="CL27" s="39"/>
      <c r="CM27" s="39"/>
      <c r="CN27" s="39"/>
      <c r="CO27" s="39"/>
      <c r="CP27" s="39"/>
      <c r="CQ27" s="39"/>
      <c r="CR27" s="39"/>
      <c r="CS27" s="39"/>
      <c r="CT27" s="39"/>
      <c r="CU27" s="39"/>
      <c r="CV27" s="39"/>
      <c r="CW27" s="39"/>
      <c r="CX27" s="39"/>
      <c r="CY27" s="39"/>
      <c r="CZ27" s="39"/>
      <c r="DA27" s="39"/>
      <c r="DB27" s="39"/>
      <c r="DC27" s="39"/>
      <c r="DD27" s="39"/>
      <c r="DE27" s="39"/>
      <c r="DF27" s="39"/>
      <c r="DG27" s="39"/>
      <c r="DH27" s="39"/>
      <c r="DI27" s="39"/>
      <c r="DJ27" s="39"/>
      <c r="DK27" s="39"/>
      <c r="DL27" s="39"/>
      <c r="DM27" s="39"/>
      <c r="DN27" s="39"/>
      <c r="DO27" s="39"/>
      <c r="DP27" s="39"/>
      <c r="DQ27" s="39"/>
      <c r="DR27" s="39"/>
      <c r="DS27" s="39"/>
      <c r="DT27" s="39"/>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9"/>
      <c r="EZ27" s="39"/>
      <c r="FA27" s="39"/>
      <c r="FB27" s="39"/>
      <c r="FC27" s="39"/>
      <c r="FD27" s="39"/>
      <c r="FE27" s="39"/>
      <c r="FF27" s="39"/>
      <c r="FG27" s="39"/>
      <c r="FH27" s="39"/>
      <c r="FI27" s="39"/>
      <c r="FJ27" s="39"/>
      <c r="FK27" s="39"/>
      <c r="FL27" s="39"/>
      <c r="FM27" s="39"/>
      <c r="FN27" s="39"/>
      <c r="FO27" s="39"/>
      <c r="FP27" s="39"/>
      <c r="FQ27" s="39"/>
      <c r="FR27" s="39"/>
      <c r="FS27" s="39"/>
      <c r="FT27" s="39"/>
      <c r="FU27" s="39"/>
      <c r="FV27" s="39"/>
      <c r="FW27" s="39"/>
      <c r="FX27" s="39"/>
      <c r="FY27" s="39"/>
      <c r="FZ27" s="39"/>
      <c r="GA27" s="39"/>
    </row>
    <row r="28" spans="1:183" s="1" customFormat="1" ht="30" customHeight="1">
      <c r="A28" s="5"/>
      <c r="B28" s="49" t="s">
        <v>39</v>
      </c>
      <c r="C28" s="49"/>
      <c r="D28" s="11">
        <v>1</v>
      </c>
      <c r="E28" s="12">
        <v>45971</v>
      </c>
      <c r="F28" s="12">
        <f t="shared" si="149"/>
        <v>45977</v>
      </c>
      <c r="G28" s="40"/>
      <c r="H28" s="40"/>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c r="CG28" s="39"/>
      <c r="CH28" s="39"/>
      <c r="CI28" s="39"/>
      <c r="CJ28" s="39"/>
      <c r="CK28" s="39"/>
      <c r="CL28" s="39"/>
      <c r="CM28" s="39"/>
      <c r="CN28" s="39"/>
      <c r="CO28" s="39"/>
      <c r="CP28" s="39"/>
      <c r="CQ28" s="39"/>
      <c r="CR28" s="39"/>
      <c r="CS28" s="39"/>
      <c r="CT28" s="39"/>
      <c r="CU28" s="39"/>
      <c r="CV28" s="39"/>
      <c r="CW28" s="39"/>
      <c r="CX28" s="39"/>
      <c r="CY28" s="39"/>
      <c r="CZ28" s="39"/>
      <c r="DA28" s="39"/>
      <c r="DB28" s="39"/>
      <c r="DC28" s="39"/>
      <c r="DD28" s="39"/>
      <c r="DE28" s="39"/>
      <c r="DF28" s="39"/>
      <c r="DG28" s="39"/>
      <c r="DH28" s="39"/>
      <c r="DI28" s="39"/>
      <c r="DJ28" s="39"/>
      <c r="DK28" s="39"/>
      <c r="DL28" s="39"/>
      <c r="DM28" s="39"/>
      <c r="DN28" s="39"/>
      <c r="DO28" s="39"/>
      <c r="DP28" s="39"/>
      <c r="DQ28" s="39"/>
      <c r="DR28" s="39"/>
      <c r="DS28" s="39"/>
      <c r="DT28" s="39"/>
      <c r="DU28" s="39"/>
      <c r="DV28" s="39"/>
      <c r="DW28" s="39"/>
      <c r="DX28" s="39"/>
      <c r="DY28" s="39"/>
      <c r="DZ28" s="39"/>
      <c r="EA28" s="39"/>
      <c r="EB28" s="39"/>
      <c r="EC28" s="39"/>
      <c r="ED28" s="39"/>
      <c r="EE28" s="39"/>
      <c r="EF28" s="39"/>
      <c r="EG28" s="39"/>
      <c r="EH28" s="39"/>
      <c r="EI28" s="39"/>
      <c r="EJ28" s="39"/>
      <c r="EK28" s="39"/>
      <c r="EL28" s="39"/>
      <c r="EM28" s="39"/>
      <c r="EN28" s="39"/>
      <c r="EO28" s="39"/>
      <c r="EP28" s="39"/>
      <c r="EQ28" s="39"/>
      <c r="ER28" s="39"/>
      <c r="ES28" s="39"/>
      <c r="ET28" s="39"/>
      <c r="EU28" s="39"/>
      <c r="EV28" s="39"/>
      <c r="EW28" s="39"/>
      <c r="EX28" s="39"/>
      <c r="EY28" s="39"/>
      <c r="EZ28" s="39"/>
      <c r="FA28" s="39"/>
      <c r="FB28" s="39"/>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row>
    <row r="29" spans="1:183" s="1" customFormat="1" ht="30" customHeight="1">
      <c r="A29" s="5"/>
      <c r="B29" s="49" t="s">
        <v>40</v>
      </c>
      <c r="C29" s="49"/>
      <c r="D29" s="11">
        <f>AVERAGE(D30:D31)</f>
        <v>1</v>
      </c>
      <c r="E29" s="12">
        <v>45978</v>
      </c>
      <c r="F29" s="12">
        <f>E29+6</f>
        <v>45984</v>
      </c>
      <c r="G29" s="40"/>
      <c r="H29" s="40">
        <f t="shared" ca="1" si="144"/>
        <v>7</v>
      </c>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39"/>
      <c r="CM29" s="39"/>
      <c r="CN29" s="39"/>
      <c r="CO29" s="39"/>
      <c r="CP29" s="39"/>
      <c r="CQ29" s="39"/>
      <c r="CR29" s="39"/>
      <c r="CS29" s="39"/>
      <c r="CT29" s="39"/>
      <c r="CU29" s="39"/>
      <c r="CV29" s="39"/>
      <c r="CW29" s="39"/>
      <c r="CX29" s="39"/>
      <c r="CY29" s="39"/>
      <c r="CZ29" s="39"/>
      <c r="DA29" s="39"/>
      <c r="DB29" s="39"/>
      <c r="DC29" s="39"/>
      <c r="DD29" s="39"/>
      <c r="DE29" s="39"/>
      <c r="DF29" s="39"/>
      <c r="DG29" s="39"/>
      <c r="DH29" s="39"/>
      <c r="DI29" s="39"/>
      <c r="DJ29" s="39"/>
      <c r="DK29" s="39"/>
      <c r="DL29" s="39"/>
      <c r="DM29" s="39"/>
      <c r="DN29" s="39"/>
      <c r="DO29" s="39"/>
      <c r="DP29" s="39"/>
      <c r="DQ29" s="39"/>
      <c r="DR29" s="39"/>
      <c r="DS29" s="39"/>
      <c r="DT29" s="39"/>
      <c r="DU29" s="39"/>
      <c r="DV29" s="39"/>
      <c r="DW29" s="39"/>
      <c r="DX29" s="39"/>
      <c r="DY29" s="39"/>
      <c r="DZ29" s="39"/>
      <c r="EA29" s="39"/>
      <c r="EB29" s="39"/>
      <c r="EC29" s="39"/>
      <c r="ED29" s="39"/>
      <c r="EE29" s="39"/>
      <c r="EF29" s="39"/>
      <c r="EG29" s="39"/>
      <c r="EH29" s="39"/>
      <c r="EI29" s="39"/>
      <c r="EJ29" s="39"/>
      <c r="EK29" s="39"/>
      <c r="EL29" s="39"/>
      <c r="EM29" s="39"/>
      <c r="EN29" s="39"/>
      <c r="EO29" s="39"/>
      <c r="EP29" s="39"/>
      <c r="EQ29" s="39"/>
      <c r="ER29" s="39"/>
      <c r="ES29" s="39"/>
      <c r="ET29" s="39"/>
      <c r="EU29" s="39"/>
      <c r="EV29" s="39"/>
      <c r="EW29" s="39"/>
      <c r="EX29" s="39"/>
      <c r="EY29" s="39"/>
      <c r="EZ29" s="39"/>
      <c r="FA29" s="39"/>
      <c r="FB29" s="39"/>
      <c r="FC29" s="39"/>
      <c r="FD29" s="39"/>
      <c r="FE29" s="39"/>
      <c r="FF29" s="39"/>
      <c r="FG29" s="39"/>
      <c r="FH29" s="39"/>
      <c r="FI29" s="39"/>
      <c r="FJ29" s="39"/>
      <c r="FK29" s="39"/>
      <c r="FL29" s="39"/>
      <c r="FM29" s="39"/>
      <c r="FN29" s="39"/>
      <c r="FO29" s="39"/>
      <c r="FP29" s="39"/>
      <c r="FQ29" s="39"/>
      <c r="FR29" s="39"/>
      <c r="FS29" s="39"/>
      <c r="FT29" s="39"/>
      <c r="FU29" s="39"/>
      <c r="FV29" s="39"/>
      <c r="FW29" s="39"/>
      <c r="FX29" s="39"/>
      <c r="FY29" s="39"/>
      <c r="FZ29" s="39"/>
      <c r="GA29" s="39"/>
    </row>
    <row r="30" spans="1:183" s="1" customFormat="1" ht="30" customHeight="1">
      <c r="A30" s="5"/>
      <c r="B30" s="49" t="s">
        <v>41</v>
      </c>
      <c r="C30" s="49"/>
      <c r="D30" s="11">
        <v>1</v>
      </c>
      <c r="E30" s="12">
        <v>45978</v>
      </c>
      <c r="F30" s="12">
        <f t="shared" ref="F30" si="150">E30+6</f>
        <v>45984</v>
      </c>
      <c r="G30" s="40"/>
      <c r="H30" s="40"/>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39"/>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9"/>
      <c r="FG30" s="39"/>
      <c r="FH30" s="39"/>
      <c r="FI30" s="39"/>
      <c r="FJ30" s="39"/>
      <c r="FK30" s="39"/>
      <c r="FL30" s="39"/>
      <c r="FM30" s="39"/>
      <c r="FN30" s="39"/>
      <c r="FO30" s="39"/>
      <c r="FP30" s="39"/>
      <c r="FQ30" s="39"/>
      <c r="FR30" s="39"/>
      <c r="FS30" s="39"/>
      <c r="FT30" s="39"/>
      <c r="FU30" s="39"/>
      <c r="FV30" s="39"/>
      <c r="FW30" s="39"/>
      <c r="FX30" s="39"/>
      <c r="FY30" s="39"/>
      <c r="FZ30" s="39"/>
      <c r="GA30" s="39"/>
    </row>
    <row r="31" spans="1:183" s="1" customFormat="1" ht="30" customHeight="1">
      <c r="A31" s="5"/>
      <c r="B31" s="49" t="s">
        <v>42</v>
      </c>
      <c r="C31" s="49"/>
      <c r="D31" s="11">
        <v>1</v>
      </c>
      <c r="E31" s="12">
        <v>45978</v>
      </c>
      <c r="F31" s="12">
        <f>E31+6</f>
        <v>45984</v>
      </c>
      <c r="G31" s="40"/>
      <c r="H31" s="40"/>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39"/>
      <c r="CY31" s="39"/>
      <c r="CZ31" s="39"/>
      <c r="DA31" s="39"/>
      <c r="DB31" s="39"/>
      <c r="DC31" s="39"/>
      <c r="DD31" s="39"/>
      <c r="DE31" s="39"/>
      <c r="DF31" s="39"/>
      <c r="DG31" s="39"/>
      <c r="DH31" s="39"/>
      <c r="DI31" s="39"/>
      <c r="DJ31" s="39"/>
      <c r="DK31" s="39"/>
      <c r="DL31" s="39"/>
      <c r="DM31" s="39"/>
      <c r="DN31" s="39"/>
      <c r="DO31" s="39"/>
      <c r="DP31" s="39"/>
      <c r="DQ31" s="39"/>
      <c r="DR31" s="39"/>
      <c r="DS31" s="39"/>
      <c r="DT31" s="39"/>
      <c r="DU31" s="39"/>
      <c r="DV31" s="39"/>
      <c r="DW31" s="39"/>
      <c r="DX31" s="39"/>
      <c r="DY31" s="39"/>
      <c r="DZ31" s="39"/>
      <c r="EA31" s="39"/>
      <c r="EB31" s="39"/>
      <c r="EC31" s="39"/>
      <c r="ED31" s="39"/>
      <c r="EE31" s="39"/>
      <c r="EF31" s="39"/>
      <c r="EG31" s="39"/>
      <c r="EH31" s="39"/>
      <c r="EI31" s="39"/>
      <c r="EJ31" s="39"/>
      <c r="EK31" s="39"/>
      <c r="EL31" s="39"/>
      <c r="EM31" s="39"/>
      <c r="EN31" s="39"/>
      <c r="EO31" s="39"/>
      <c r="EP31" s="39"/>
      <c r="EQ31" s="39"/>
      <c r="ER31" s="39"/>
      <c r="ES31" s="39"/>
      <c r="ET31" s="39"/>
      <c r="EU31" s="39"/>
      <c r="EV31" s="39"/>
      <c r="EW31" s="39"/>
      <c r="EX31" s="39"/>
      <c r="EY31" s="39"/>
      <c r="EZ31" s="39"/>
      <c r="FA31" s="39"/>
      <c r="FB31" s="39"/>
      <c r="FC31" s="39"/>
      <c r="FD31" s="39"/>
      <c r="FE31" s="39"/>
      <c r="FF31" s="39"/>
      <c r="FG31" s="39"/>
      <c r="FH31" s="39"/>
      <c r="FI31" s="39"/>
      <c r="FJ31" s="39"/>
      <c r="FK31" s="39"/>
      <c r="FL31" s="39"/>
      <c r="FM31" s="39"/>
      <c r="FN31" s="39"/>
      <c r="FO31" s="39"/>
      <c r="FP31" s="39"/>
      <c r="FQ31" s="39"/>
      <c r="FR31" s="39"/>
      <c r="FS31" s="39"/>
      <c r="FT31" s="39"/>
      <c r="FU31" s="39"/>
      <c r="FV31" s="39"/>
      <c r="FW31" s="39"/>
      <c r="FX31" s="39"/>
      <c r="FY31" s="39"/>
      <c r="FZ31" s="39"/>
      <c r="GA31" s="39"/>
    </row>
    <row r="32" spans="1:183" s="1" customFormat="1" ht="30" customHeight="1">
      <c r="A32" s="5"/>
      <c r="B32" s="67" t="s">
        <v>43</v>
      </c>
      <c r="C32" s="67"/>
      <c r="D32" s="52">
        <f>AVERAGE(D33:D36)</f>
        <v>1</v>
      </c>
      <c r="E32" s="53">
        <v>46037</v>
      </c>
      <c r="F32" s="53">
        <v>46054</v>
      </c>
      <c r="G32" s="40"/>
      <c r="H32" s="40"/>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39"/>
      <c r="CY32" s="39"/>
      <c r="CZ32" s="39"/>
      <c r="DA32" s="39"/>
      <c r="DB32" s="39"/>
      <c r="DC32" s="39"/>
      <c r="DD32" s="39"/>
      <c r="DE32" s="39"/>
      <c r="DF32" s="39"/>
      <c r="DG32" s="39"/>
      <c r="DH32" s="39"/>
      <c r="DI32" s="39"/>
      <c r="DJ32" s="39"/>
      <c r="DK32" s="39"/>
      <c r="DL32" s="39"/>
      <c r="DM32" s="39"/>
      <c r="DN32" s="39"/>
      <c r="DO32" s="39"/>
      <c r="DP32" s="39"/>
      <c r="DQ32" s="39"/>
      <c r="DR32" s="39"/>
      <c r="DS32" s="39"/>
      <c r="DT32" s="39"/>
      <c r="DU32" s="39"/>
      <c r="DV32" s="39"/>
      <c r="DW32" s="39"/>
      <c r="DX32" s="39"/>
      <c r="DY32" s="39"/>
      <c r="DZ32" s="39"/>
      <c r="EA32" s="39"/>
      <c r="EB32" s="39"/>
      <c r="EC32" s="39"/>
      <c r="ED32" s="39"/>
      <c r="EE32" s="39"/>
      <c r="EF32" s="39"/>
      <c r="EG32" s="39"/>
      <c r="EH32" s="39"/>
      <c r="EI32" s="39"/>
      <c r="EJ32" s="39"/>
      <c r="EK32" s="39"/>
      <c r="EL32" s="39"/>
      <c r="EM32" s="39"/>
      <c r="EN32" s="39"/>
      <c r="EO32" s="39"/>
      <c r="EP32" s="39"/>
      <c r="EQ32" s="39"/>
      <c r="ER32" s="39"/>
      <c r="ES32" s="39"/>
      <c r="ET32" s="39"/>
      <c r="EU32" s="39"/>
      <c r="EV32" s="39"/>
      <c r="EW32" s="39"/>
      <c r="EX32" s="39"/>
      <c r="EY32" s="39"/>
      <c r="EZ32" s="39"/>
      <c r="FA32" s="39"/>
      <c r="FB32" s="39"/>
      <c r="FC32" s="39"/>
      <c r="FD32" s="39"/>
      <c r="FE32" s="39"/>
      <c r="FF32" s="39"/>
      <c r="FG32" s="39"/>
      <c r="FH32" s="39"/>
      <c r="FI32" s="39"/>
      <c r="FJ32" s="39"/>
      <c r="FK32" s="39"/>
      <c r="FL32" s="39"/>
      <c r="FM32" s="39"/>
      <c r="FN32" s="39"/>
      <c r="FO32" s="39"/>
      <c r="FP32" s="39"/>
      <c r="FQ32" s="39"/>
      <c r="FR32" s="39"/>
      <c r="FS32" s="39"/>
      <c r="FT32" s="39"/>
      <c r="FU32" s="39"/>
      <c r="FV32" s="39"/>
      <c r="FW32" s="39"/>
      <c r="FX32" s="39"/>
      <c r="FY32" s="39"/>
      <c r="FZ32" s="39"/>
      <c r="GA32" s="39"/>
    </row>
    <row r="33" spans="1:183" s="1" customFormat="1" ht="30" customHeight="1">
      <c r="A33" s="5"/>
      <c r="B33" s="55" t="s">
        <v>44</v>
      </c>
      <c r="C33" s="55"/>
      <c r="D33" s="11">
        <v>1</v>
      </c>
      <c r="E33" s="54">
        <v>46037</v>
      </c>
      <c r="F33" s="54">
        <v>46047</v>
      </c>
      <c r="G33" s="40"/>
      <c r="H33" s="40"/>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row>
    <row r="34" spans="1:183" s="1" customFormat="1" ht="30" customHeight="1">
      <c r="A34" s="5"/>
      <c r="B34" s="55" t="s">
        <v>45</v>
      </c>
      <c r="C34" s="55"/>
      <c r="D34" s="11">
        <v>1</v>
      </c>
      <c r="E34" s="54">
        <v>46037</v>
      </c>
      <c r="F34" s="54">
        <v>46047</v>
      </c>
      <c r="G34" s="40"/>
      <c r="H34" s="40"/>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row>
    <row r="35" spans="1:183" s="1" customFormat="1" ht="30" customHeight="1">
      <c r="A35" s="5"/>
      <c r="B35" s="55" t="s">
        <v>46</v>
      </c>
      <c r="C35" s="55"/>
      <c r="D35" s="11">
        <v>1</v>
      </c>
      <c r="E35" s="54">
        <v>46048</v>
      </c>
      <c r="F35" s="54">
        <v>46054</v>
      </c>
      <c r="G35" s="40"/>
      <c r="H35" s="40"/>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row>
    <row r="36" spans="1:183" s="1" customFormat="1" ht="30" customHeight="1">
      <c r="A36" s="5"/>
      <c r="B36" s="55" t="s">
        <v>47</v>
      </c>
      <c r="C36" s="55"/>
      <c r="D36" s="11">
        <v>1</v>
      </c>
      <c r="E36" s="54">
        <v>46048</v>
      </c>
      <c r="F36" s="54">
        <v>46054</v>
      </c>
      <c r="G36" s="40"/>
      <c r="H36" s="40"/>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row>
    <row r="37" spans="1:183" s="1" customFormat="1" ht="30" customHeight="1">
      <c r="A37" s="4" t="s">
        <v>48</v>
      </c>
      <c r="B37" s="64" t="s">
        <v>49</v>
      </c>
      <c r="C37" s="64"/>
      <c r="D37" s="27">
        <v>0</v>
      </c>
      <c r="E37" s="28">
        <v>46055</v>
      </c>
      <c r="F37" s="28">
        <v>46082</v>
      </c>
      <c r="G37" s="40"/>
      <c r="H37" s="40">
        <f t="shared" ca="1" si="144"/>
        <v>28</v>
      </c>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row>
    <row r="38" spans="1:183" s="1" customFormat="1" ht="30" customHeight="1">
      <c r="A38" s="4"/>
      <c r="B38" s="66" t="s">
        <v>50</v>
      </c>
      <c r="C38" s="66"/>
      <c r="D38" s="11">
        <v>0</v>
      </c>
      <c r="E38" s="13">
        <v>46055</v>
      </c>
      <c r="F38" s="13">
        <v>46058</v>
      </c>
      <c r="G38" s="40"/>
      <c r="H38" s="40">
        <f t="shared" ca="1" si="144"/>
        <v>4</v>
      </c>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row>
    <row r="39" spans="1:183" s="1" customFormat="1" ht="30" customHeight="1">
      <c r="A39" s="4"/>
      <c r="B39" s="66" t="s">
        <v>51</v>
      </c>
      <c r="C39" s="66"/>
      <c r="D39" s="11">
        <v>0</v>
      </c>
      <c r="E39" s="13">
        <v>46055</v>
      </c>
      <c r="F39" s="13">
        <v>46058</v>
      </c>
      <c r="G39" s="40"/>
      <c r="H39" s="40">
        <f t="shared" ca="1" si="144"/>
        <v>4</v>
      </c>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39"/>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39"/>
      <c r="FD39" s="39"/>
      <c r="FE39" s="39"/>
      <c r="FF39" s="39"/>
      <c r="FG39" s="39"/>
      <c r="FH39" s="39"/>
      <c r="FI39" s="39"/>
      <c r="FJ39" s="39"/>
      <c r="FK39" s="39"/>
      <c r="FL39" s="39"/>
      <c r="FM39" s="39"/>
      <c r="FN39" s="39"/>
      <c r="FO39" s="39"/>
      <c r="FP39" s="39"/>
      <c r="FQ39" s="39"/>
      <c r="FR39" s="39"/>
      <c r="FS39" s="39"/>
      <c r="FT39" s="39"/>
      <c r="FU39" s="39"/>
      <c r="FV39" s="39"/>
      <c r="FW39" s="39"/>
      <c r="FX39" s="39"/>
      <c r="FY39" s="39"/>
      <c r="FZ39" s="39"/>
      <c r="GA39" s="39"/>
    </row>
    <row r="40" spans="1:183" s="1" customFormat="1" ht="30" customHeight="1">
      <c r="A40" s="4"/>
      <c r="B40" s="66" t="s">
        <v>52</v>
      </c>
      <c r="C40" s="66"/>
      <c r="D40" s="11">
        <v>0</v>
      </c>
      <c r="E40" s="13">
        <v>46059</v>
      </c>
      <c r="F40" s="13">
        <v>46061</v>
      </c>
      <c r="G40" s="40"/>
      <c r="H40" s="40">
        <f t="shared" ca="1" si="144"/>
        <v>3</v>
      </c>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c r="EP40" s="39"/>
      <c r="EQ40" s="39"/>
      <c r="ER40" s="39"/>
      <c r="ES40" s="39"/>
      <c r="ET40" s="39"/>
      <c r="EU40" s="39"/>
      <c r="EV40" s="39"/>
      <c r="EW40" s="39"/>
      <c r="EX40" s="39"/>
      <c r="EY40" s="39"/>
      <c r="EZ40" s="39"/>
      <c r="FA40" s="39"/>
      <c r="FB40" s="39"/>
      <c r="FC40" s="39"/>
      <c r="FD40" s="39"/>
      <c r="FE40" s="39"/>
      <c r="FF40" s="39"/>
      <c r="FG40" s="39"/>
      <c r="FH40" s="39"/>
      <c r="FI40" s="39"/>
      <c r="FJ40" s="39"/>
      <c r="FK40" s="39"/>
      <c r="FL40" s="39"/>
      <c r="FM40" s="39"/>
      <c r="FN40" s="39"/>
      <c r="FO40" s="39"/>
      <c r="FP40" s="39"/>
      <c r="FQ40" s="39"/>
      <c r="FR40" s="39"/>
      <c r="FS40" s="39"/>
      <c r="FT40" s="39"/>
      <c r="FU40" s="39"/>
      <c r="FV40" s="39"/>
      <c r="FW40" s="39"/>
      <c r="FX40" s="39"/>
      <c r="FY40" s="39"/>
      <c r="FZ40" s="39"/>
      <c r="GA40" s="39"/>
    </row>
    <row r="41" spans="1:183" s="1" customFormat="1" ht="30" customHeight="1">
      <c r="A41" s="4"/>
      <c r="B41" s="51" t="s">
        <v>53</v>
      </c>
      <c r="C41" s="51"/>
      <c r="D41" s="11">
        <v>0</v>
      </c>
      <c r="E41" s="13">
        <v>46062</v>
      </c>
      <c r="F41" s="13">
        <v>46068</v>
      </c>
      <c r="G41" s="40"/>
      <c r="H41" s="40"/>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39"/>
      <c r="EA41" s="39"/>
      <c r="EB41" s="39"/>
      <c r="EC41" s="39"/>
      <c r="ED41" s="39"/>
      <c r="EE41" s="39"/>
      <c r="EF41" s="39"/>
      <c r="EG41" s="39"/>
      <c r="EH41" s="39"/>
      <c r="EI41" s="39"/>
      <c r="EJ41" s="39"/>
      <c r="EK41" s="39"/>
      <c r="EL41" s="39"/>
      <c r="EM41" s="39"/>
      <c r="EN41" s="39"/>
      <c r="EO41" s="39"/>
      <c r="EP41" s="39"/>
      <c r="EQ41" s="39"/>
      <c r="ER41" s="39"/>
      <c r="ES41" s="39"/>
      <c r="ET41" s="39"/>
      <c r="EU41" s="39"/>
      <c r="EV41" s="39"/>
      <c r="EW41" s="39"/>
      <c r="EX41" s="39"/>
      <c r="EY41" s="39"/>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row>
    <row r="42" spans="1:183" s="1" customFormat="1" ht="30" customHeight="1">
      <c r="A42" s="4"/>
      <c r="B42" s="51" t="s">
        <v>54</v>
      </c>
      <c r="C42" s="51"/>
      <c r="D42" s="11">
        <v>0</v>
      </c>
      <c r="E42" s="13">
        <v>46069</v>
      </c>
      <c r="F42" s="13">
        <v>46075</v>
      </c>
      <c r="G42" s="40"/>
      <c r="H42" s="40"/>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39"/>
      <c r="EB42" s="39"/>
      <c r="EC42" s="39"/>
      <c r="ED42" s="39"/>
      <c r="EE42" s="39"/>
      <c r="EF42" s="39"/>
      <c r="EG42" s="39"/>
      <c r="EH42" s="39"/>
      <c r="EI42" s="39"/>
      <c r="EJ42" s="39"/>
      <c r="EK42" s="39"/>
      <c r="EL42" s="39"/>
      <c r="EM42" s="39"/>
      <c r="EN42" s="39"/>
      <c r="EO42" s="39"/>
      <c r="EP42" s="39"/>
      <c r="EQ42" s="39"/>
      <c r="ER42" s="39"/>
      <c r="ES42" s="39"/>
      <c r="ET42" s="39"/>
      <c r="EU42" s="39"/>
      <c r="EV42" s="39"/>
      <c r="EW42" s="39"/>
      <c r="EX42" s="39"/>
      <c r="EY42" s="39"/>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row>
    <row r="43" spans="1:183" s="1" customFormat="1" ht="30" customHeight="1">
      <c r="A43" s="4"/>
      <c r="B43" s="66" t="s">
        <v>55</v>
      </c>
      <c r="C43" s="66"/>
      <c r="D43" s="11">
        <v>0</v>
      </c>
      <c r="E43" s="13">
        <v>46076</v>
      </c>
      <c r="F43" s="13">
        <v>46082</v>
      </c>
      <c r="G43" s="40"/>
      <c r="H43" s="40">
        <f t="shared" ca="1" si="144"/>
        <v>7</v>
      </c>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39"/>
      <c r="CT43" s="39"/>
      <c r="CU43" s="39"/>
      <c r="CV43" s="39"/>
      <c r="CW43" s="39"/>
      <c r="CX43" s="39"/>
      <c r="CY43" s="39"/>
      <c r="CZ43" s="39"/>
      <c r="DA43" s="39"/>
      <c r="DB43" s="39"/>
      <c r="DC43" s="39"/>
      <c r="DD43" s="39"/>
      <c r="DE43" s="39"/>
      <c r="DF43" s="39"/>
      <c r="DG43" s="39"/>
      <c r="DH43" s="39"/>
      <c r="DI43" s="39"/>
      <c r="DJ43" s="39"/>
      <c r="DK43" s="39"/>
      <c r="DL43" s="39"/>
      <c r="DM43" s="39"/>
      <c r="DN43" s="39"/>
      <c r="DO43" s="39"/>
      <c r="DP43" s="39"/>
      <c r="DQ43" s="39"/>
      <c r="DR43" s="39"/>
      <c r="DS43" s="39"/>
      <c r="DT43" s="39"/>
      <c r="DU43" s="39"/>
      <c r="DV43" s="39"/>
      <c r="DW43" s="39"/>
      <c r="DX43" s="39"/>
      <c r="DY43" s="39"/>
      <c r="DZ43" s="39"/>
      <c r="EA43" s="39"/>
      <c r="EB43" s="39"/>
      <c r="EC43" s="39"/>
      <c r="ED43" s="39"/>
      <c r="EE43" s="39"/>
      <c r="EF43" s="39"/>
      <c r="EG43" s="39"/>
      <c r="EH43" s="39"/>
      <c r="EI43" s="39"/>
      <c r="EJ43" s="39"/>
      <c r="EK43" s="39"/>
      <c r="EL43" s="39"/>
      <c r="EM43" s="39"/>
      <c r="EN43" s="39"/>
      <c r="EO43" s="39"/>
      <c r="EP43" s="39"/>
      <c r="EQ43" s="39"/>
      <c r="ER43" s="39"/>
      <c r="ES43" s="39"/>
      <c r="ET43" s="39"/>
      <c r="EU43" s="39"/>
      <c r="EV43" s="39"/>
      <c r="EW43" s="39"/>
      <c r="EX43" s="39"/>
      <c r="EY43" s="39"/>
      <c r="EZ43" s="39"/>
      <c r="FA43" s="39"/>
      <c r="FB43" s="39"/>
      <c r="FC43" s="39"/>
      <c r="FD43" s="39"/>
      <c r="FE43" s="39"/>
      <c r="FF43" s="39"/>
      <c r="FG43" s="39"/>
      <c r="FH43" s="39"/>
      <c r="FI43" s="39"/>
      <c r="FJ43" s="39"/>
      <c r="FK43" s="39"/>
      <c r="FL43" s="39"/>
      <c r="FM43" s="39"/>
      <c r="FN43" s="39"/>
      <c r="FO43" s="39"/>
      <c r="FP43" s="39"/>
      <c r="FQ43" s="39"/>
      <c r="FR43" s="39"/>
      <c r="FS43" s="39"/>
      <c r="FT43" s="39"/>
      <c r="FU43" s="39"/>
      <c r="FV43" s="39"/>
      <c r="FW43" s="39"/>
      <c r="FX43" s="39"/>
      <c r="FY43" s="39"/>
      <c r="FZ43" s="39"/>
      <c r="GA43" s="39"/>
    </row>
    <row r="44" spans="1:183" s="1" customFormat="1" ht="30" customHeight="1">
      <c r="A44" s="4"/>
      <c r="B44" s="65" t="s">
        <v>56</v>
      </c>
      <c r="C44" s="65"/>
      <c r="D44" s="26">
        <v>0</v>
      </c>
      <c r="E44" s="16">
        <v>46083</v>
      </c>
      <c r="F44" s="16">
        <v>46103</v>
      </c>
      <c r="G44" s="40"/>
      <c r="H44" s="40"/>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39"/>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39"/>
      <c r="EZ44" s="39"/>
      <c r="FA44" s="39"/>
      <c r="FB44" s="39"/>
      <c r="FC44" s="39"/>
      <c r="FD44" s="39"/>
      <c r="FE44" s="39"/>
      <c r="FF44" s="39"/>
      <c r="FG44" s="39"/>
      <c r="FH44" s="39"/>
      <c r="FI44" s="39"/>
      <c r="FJ44" s="39"/>
      <c r="FK44" s="39"/>
      <c r="FL44" s="39"/>
      <c r="FM44" s="39"/>
      <c r="FN44" s="39"/>
      <c r="FO44" s="39"/>
      <c r="FP44" s="39"/>
      <c r="FQ44" s="39"/>
      <c r="FR44" s="39"/>
      <c r="FS44" s="39"/>
      <c r="FT44" s="39"/>
      <c r="FU44" s="39"/>
      <c r="FV44" s="39"/>
      <c r="FW44" s="39"/>
      <c r="FX44" s="39"/>
      <c r="FY44" s="39"/>
      <c r="FZ44" s="39"/>
      <c r="GA44" s="39"/>
    </row>
    <row r="45" spans="1:183" s="1" customFormat="1" ht="30" customHeight="1">
      <c r="A45" s="4"/>
      <c r="B45" s="61" t="s">
        <v>57</v>
      </c>
      <c r="C45" s="61"/>
      <c r="D45" s="11">
        <v>0</v>
      </c>
      <c r="E45" s="17">
        <v>46083</v>
      </c>
      <c r="F45" s="17">
        <v>46089</v>
      </c>
      <c r="G45" s="40"/>
      <c r="H45" s="40"/>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39"/>
      <c r="DN45" s="39"/>
      <c r="DO45" s="39"/>
      <c r="DP45" s="39"/>
      <c r="DQ45" s="39"/>
      <c r="DR45" s="39"/>
      <c r="DS45" s="39"/>
      <c r="DT45" s="39"/>
      <c r="DU45" s="39"/>
      <c r="DV45" s="39"/>
      <c r="DW45" s="39"/>
      <c r="DX45" s="39"/>
      <c r="DY45" s="39"/>
      <c r="DZ45" s="39"/>
      <c r="EA45" s="39"/>
      <c r="EB45" s="39"/>
      <c r="EC45" s="39"/>
      <c r="ED45" s="39"/>
      <c r="EE45" s="39"/>
      <c r="EF45" s="39"/>
      <c r="EG45" s="39"/>
      <c r="EH45" s="39"/>
      <c r="EI45" s="39"/>
      <c r="EJ45" s="39"/>
      <c r="EK45" s="39"/>
      <c r="EL45" s="39"/>
      <c r="EM45" s="39"/>
      <c r="EN45" s="39"/>
      <c r="EO45" s="39"/>
      <c r="EP45" s="39"/>
      <c r="EQ45" s="39"/>
      <c r="ER45" s="39"/>
      <c r="ES45" s="39"/>
      <c r="ET45" s="39"/>
      <c r="EU45" s="39"/>
      <c r="EV45" s="39"/>
      <c r="EW45" s="39"/>
      <c r="EX45" s="39"/>
      <c r="EY45" s="39"/>
      <c r="EZ45" s="39"/>
      <c r="FA45" s="39"/>
      <c r="FB45" s="39"/>
      <c r="FC45" s="39"/>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row>
    <row r="46" spans="1:183" s="1" customFormat="1" ht="30" customHeight="1">
      <c r="A46" s="4"/>
      <c r="B46" s="61" t="s">
        <v>58</v>
      </c>
      <c r="C46" s="61"/>
      <c r="D46" s="11">
        <v>0</v>
      </c>
      <c r="E46" s="17">
        <v>46083</v>
      </c>
      <c r="F46" s="17">
        <v>46089</v>
      </c>
      <c r="G46" s="40"/>
      <c r="H46" s="40">
        <f t="shared" ca="1" si="144"/>
        <v>7</v>
      </c>
      <c r="I46" s="39"/>
      <c r="J46" s="39"/>
      <c r="K46" s="39"/>
      <c r="L46" s="39"/>
      <c r="M46" s="39"/>
      <c r="N46" s="39"/>
      <c r="O46" s="39"/>
      <c r="P46" s="39"/>
      <c r="Q46" s="39"/>
      <c r="R46" s="39"/>
      <c r="S46" s="39"/>
      <c r="T46" s="39"/>
      <c r="U46" s="39"/>
      <c r="V46" s="39"/>
      <c r="W46" s="39"/>
      <c r="X46" s="39"/>
      <c r="Y46" s="41"/>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c r="CG46" s="39"/>
      <c r="CH46" s="39"/>
      <c r="CI46" s="39"/>
      <c r="CJ46" s="39"/>
      <c r="CK46" s="39"/>
      <c r="CL46" s="39"/>
      <c r="CM46" s="39"/>
      <c r="CN46" s="39"/>
      <c r="CO46" s="39"/>
      <c r="CP46" s="39"/>
      <c r="CQ46" s="39"/>
      <c r="CR46" s="39"/>
      <c r="CS46" s="39"/>
      <c r="CT46" s="39"/>
      <c r="CU46" s="39"/>
      <c r="CV46" s="39"/>
      <c r="CW46" s="39"/>
      <c r="CX46" s="39"/>
      <c r="CY46" s="39"/>
      <c r="CZ46" s="39"/>
      <c r="DA46" s="39"/>
      <c r="DB46" s="39"/>
      <c r="DC46" s="39"/>
      <c r="DD46" s="39"/>
      <c r="DE46" s="39"/>
      <c r="DF46" s="39"/>
      <c r="DG46" s="39"/>
      <c r="DH46" s="39"/>
      <c r="DI46" s="39"/>
      <c r="DJ46" s="39"/>
      <c r="DK46" s="39"/>
      <c r="DL46" s="39"/>
      <c r="DM46" s="39"/>
      <c r="DN46" s="39"/>
      <c r="DO46" s="39"/>
      <c r="DP46" s="39"/>
      <c r="DQ46" s="39"/>
      <c r="DR46" s="39"/>
      <c r="DS46" s="39"/>
      <c r="DT46" s="39"/>
      <c r="DU46" s="39"/>
      <c r="DV46" s="39"/>
      <c r="DW46" s="39"/>
      <c r="DX46" s="39"/>
      <c r="DY46" s="39"/>
      <c r="DZ46" s="39"/>
      <c r="EA46" s="39"/>
      <c r="EB46" s="39"/>
      <c r="EC46" s="39"/>
      <c r="ED46" s="39"/>
      <c r="EE46" s="39"/>
      <c r="EF46" s="39"/>
      <c r="EG46" s="39"/>
      <c r="EH46" s="39"/>
      <c r="EI46" s="39"/>
      <c r="EJ46" s="39"/>
      <c r="EK46" s="39"/>
      <c r="EL46" s="39"/>
      <c r="EM46" s="39"/>
      <c r="EN46" s="39"/>
      <c r="EO46" s="39"/>
      <c r="EP46" s="39"/>
      <c r="EQ46" s="39"/>
      <c r="ER46" s="39"/>
      <c r="ES46" s="39"/>
      <c r="ET46" s="39"/>
      <c r="EU46" s="39"/>
      <c r="EV46" s="39"/>
      <c r="EW46" s="39"/>
      <c r="EX46" s="39"/>
      <c r="EY46" s="39"/>
      <c r="EZ46" s="39"/>
      <c r="FA46" s="39"/>
      <c r="FB46" s="39"/>
      <c r="FC46" s="39"/>
      <c r="FD46" s="39"/>
      <c r="FE46" s="39"/>
      <c r="FF46" s="39"/>
      <c r="FG46" s="39"/>
      <c r="FH46" s="39"/>
      <c r="FI46" s="39"/>
      <c r="FJ46" s="39"/>
      <c r="FK46" s="39"/>
      <c r="FL46" s="39"/>
      <c r="FM46" s="39"/>
      <c r="FN46" s="39"/>
      <c r="FO46" s="39"/>
      <c r="FP46" s="39"/>
      <c r="FQ46" s="39"/>
      <c r="FR46" s="39"/>
      <c r="FS46" s="39"/>
      <c r="FT46" s="39"/>
      <c r="FU46" s="39"/>
      <c r="FV46" s="39"/>
      <c r="FW46" s="39"/>
      <c r="FX46" s="39"/>
      <c r="FY46" s="39"/>
      <c r="FZ46" s="39"/>
      <c r="GA46" s="39"/>
    </row>
    <row r="47" spans="1:183" s="1" customFormat="1" ht="30" customHeight="1">
      <c r="A47" s="4"/>
      <c r="B47" s="61" t="s">
        <v>59</v>
      </c>
      <c r="C47" s="61"/>
      <c r="D47" s="11">
        <v>0</v>
      </c>
      <c r="E47" s="17">
        <v>46090</v>
      </c>
      <c r="F47" s="17">
        <v>46096</v>
      </c>
      <c r="G47" s="40"/>
      <c r="H47" s="40"/>
      <c r="I47" s="39"/>
      <c r="J47" s="39"/>
      <c r="K47" s="39"/>
      <c r="L47" s="39"/>
      <c r="M47" s="39"/>
      <c r="N47" s="39"/>
      <c r="O47" s="39"/>
      <c r="P47" s="39"/>
      <c r="Q47" s="39"/>
      <c r="R47" s="39"/>
      <c r="S47" s="39"/>
      <c r="T47" s="39"/>
      <c r="U47" s="39"/>
      <c r="V47" s="39"/>
      <c r="W47" s="39"/>
      <c r="X47" s="39"/>
      <c r="Y47" s="41"/>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39"/>
      <c r="ED47" s="39"/>
      <c r="EE47" s="39"/>
      <c r="EF47" s="39"/>
      <c r="EG47" s="39"/>
      <c r="EH47" s="39"/>
      <c r="EI47" s="39"/>
      <c r="EJ47" s="39"/>
      <c r="EK47" s="39"/>
      <c r="EL47" s="39"/>
      <c r="EM47" s="39"/>
      <c r="EN47" s="39"/>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row>
    <row r="48" spans="1:183" s="1" customFormat="1" ht="30" customHeight="1">
      <c r="A48" s="4"/>
      <c r="B48" s="61" t="s">
        <v>60</v>
      </c>
      <c r="C48" s="61"/>
      <c r="D48" s="11">
        <v>0</v>
      </c>
      <c r="E48" s="17">
        <v>46097</v>
      </c>
      <c r="F48" s="17">
        <v>46103</v>
      </c>
      <c r="G48" s="40"/>
      <c r="H48" s="40">
        <f t="shared" ca="1" si="144"/>
        <v>7</v>
      </c>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c r="EP48" s="39"/>
      <c r="EQ48" s="39"/>
      <c r="ER48" s="39"/>
      <c r="ES48" s="39"/>
      <c r="ET48" s="39"/>
      <c r="EU48" s="39"/>
      <c r="EV48" s="39"/>
      <c r="EW48" s="39"/>
      <c r="EX48" s="39"/>
      <c r="EY48" s="39"/>
      <c r="EZ48" s="39"/>
      <c r="FA48" s="39"/>
      <c r="FB48" s="39"/>
      <c r="FC48" s="39"/>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row>
    <row r="49" spans="1:183" s="1" customFormat="1" ht="30" customHeight="1">
      <c r="A49" s="5" t="s">
        <v>61</v>
      </c>
      <c r="B49" s="25"/>
      <c r="C49" s="42"/>
      <c r="D49" s="43"/>
      <c r="E49" s="44"/>
      <c r="F49" s="45"/>
      <c r="G49" s="46"/>
      <c r="H49" s="46" t="str">
        <f t="shared" ca="1" si="144"/>
        <v/>
      </c>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row>
    <row r="50" spans="1:183" ht="30" customHeight="1">
      <c r="G50" s="3"/>
    </row>
    <row r="51" spans="1:183" ht="30" customHeight="1">
      <c r="F51" s="6"/>
    </row>
    <row r="52" spans="1:183" ht="30" customHeight="1">
      <c r="C52" s="7"/>
    </row>
  </sheetData>
  <mergeCells count="49">
    <mergeCell ref="B47:C47"/>
    <mergeCell ref="B48:C48"/>
    <mergeCell ref="B7:C7"/>
    <mergeCell ref="B13:C13"/>
    <mergeCell ref="B37:C37"/>
    <mergeCell ref="B44:C44"/>
    <mergeCell ref="B45:C45"/>
    <mergeCell ref="B46:C46"/>
    <mergeCell ref="B43:C43"/>
    <mergeCell ref="B38:C38"/>
    <mergeCell ref="B39:C39"/>
    <mergeCell ref="B40:C40"/>
    <mergeCell ref="B32:C32"/>
    <mergeCell ref="B33:C33"/>
    <mergeCell ref="B34:C34"/>
    <mergeCell ref="B35:C35"/>
    <mergeCell ref="B5:C5"/>
    <mergeCell ref="B8:C8"/>
    <mergeCell ref="B10:C10"/>
    <mergeCell ref="B12:C12"/>
    <mergeCell ref="BF3:BL3"/>
    <mergeCell ref="CH3:CN3"/>
    <mergeCell ref="CO3:CU3"/>
    <mergeCell ref="C2:D2"/>
    <mergeCell ref="C3:D3"/>
    <mergeCell ref="AK3:AQ3"/>
    <mergeCell ref="AR3:AX3"/>
    <mergeCell ref="AY3:BE3"/>
    <mergeCell ref="E2:F2"/>
    <mergeCell ref="I3:O3"/>
    <mergeCell ref="P3:V3"/>
    <mergeCell ref="W3:AC3"/>
    <mergeCell ref="AD3:AJ3"/>
    <mergeCell ref="B36:C36"/>
    <mergeCell ref="FN3:FT3"/>
    <mergeCell ref="FU3:GA3"/>
    <mergeCell ref="EE3:EK3"/>
    <mergeCell ref="EL3:ER3"/>
    <mergeCell ref="ES3:EY3"/>
    <mergeCell ref="EZ3:FF3"/>
    <mergeCell ref="FG3:FM3"/>
    <mergeCell ref="CV3:DB3"/>
    <mergeCell ref="DC3:DI3"/>
    <mergeCell ref="DJ3:DP3"/>
    <mergeCell ref="DQ3:DW3"/>
    <mergeCell ref="DX3:ED3"/>
    <mergeCell ref="BM3:BS3"/>
    <mergeCell ref="BT3:BZ3"/>
    <mergeCell ref="CA3:CG3"/>
  </mergeCells>
  <phoneticPr fontId="20" type="noConversion"/>
  <conditionalFormatting sqref="D6 D49">
    <cfRule type="dataBar" priority="11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7">
    <cfRule type="dataBar" priority="99">
      <dataBar>
        <cfvo type="num" val="0"/>
        <cfvo type="num" val="1"/>
        <color theme="0" tint="-0.249977111117893"/>
      </dataBar>
      <extLst>
        <ext xmlns:x14="http://schemas.microsoft.com/office/spreadsheetml/2009/9/main" uri="{B025F937-C7B1-47D3-B67F-A62EFF666E3E}">
          <x14:id>{00CBCC4D-2612-5B44-9905-8ABC6CB616E5}</x14:id>
        </ext>
      </extLst>
    </cfRule>
  </conditionalFormatting>
  <conditionalFormatting sqref="D8:D12">
    <cfRule type="dataBar" priority="98">
      <dataBar>
        <cfvo type="num" val="0"/>
        <cfvo type="num" val="1"/>
        <color theme="0" tint="-0.249977111117893"/>
      </dataBar>
      <extLst>
        <ext xmlns:x14="http://schemas.microsoft.com/office/spreadsheetml/2009/9/main" uri="{B025F937-C7B1-47D3-B67F-A62EFF666E3E}">
          <x14:id>{87771485-D850-5C4A-A64C-41F60DD6753F}</x14:id>
        </ext>
      </extLst>
    </cfRule>
  </conditionalFormatting>
  <conditionalFormatting sqref="D10:D11">
    <cfRule type="dataBar" priority="97">
      <dataBar>
        <cfvo type="num" val="0"/>
        <cfvo type="num" val="1"/>
        <color theme="0" tint="-0.249977111117893"/>
      </dataBar>
      <extLst>
        <ext xmlns:x14="http://schemas.microsoft.com/office/spreadsheetml/2009/9/main" uri="{B025F937-C7B1-47D3-B67F-A62EFF666E3E}">
          <x14:id>{6931FEB6-27C8-404A-B836-D2C4997B5EA2}</x14:id>
        </ext>
      </extLst>
    </cfRule>
  </conditionalFormatting>
  <conditionalFormatting sqref="D12">
    <cfRule type="dataBar" priority="96">
      <dataBar>
        <cfvo type="num" val="0"/>
        <cfvo type="num" val="1"/>
        <color theme="0" tint="-0.249977111117893"/>
      </dataBar>
      <extLst>
        <ext xmlns:x14="http://schemas.microsoft.com/office/spreadsheetml/2009/9/main" uri="{B025F937-C7B1-47D3-B67F-A62EFF666E3E}">
          <x14:id>{6A5D3ABF-E618-644D-BDC7-7CA2A8E23783}</x14:id>
        </ext>
      </extLst>
    </cfRule>
  </conditionalFormatting>
  <conditionalFormatting sqref="D13">
    <cfRule type="dataBar" priority="95">
      <dataBar>
        <cfvo type="num" val="0"/>
        <cfvo type="num" val="1"/>
        <color theme="0" tint="-0.249977111117893"/>
      </dataBar>
      <extLst>
        <ext xmlns:x14="http://schemas.microsoft.com/office/spreadsheetml/2009/9/main" uri="{B025F937-C7B1-47D3-B67F-A62EFF666E3E}">
          <x14:id>{C1C95AB5-B8BC-B743-BC39-4BCBC7DA63DA}</x14:id>
        </ext>
      </extLst>
    </cfRule>
  </conditionalFormatting>
  <conditionalFormatting sqref="D14:D31">
    <cfRule type="dataBar" priority="94">
      <dataBar>
        <cfvo type="num" val="0"/>
        <cfvo type="num" val="1"/>
        <color theme="0" tint="-0.249977111117893"/>
      </dataBar>
      <extLst>
        <ext xmlns:x14="http://schemas.microsoft.com/office/spreadsheetml/2009/9/main" uri="{B025F937-C7B1-47D3-B67F-A62EFF666E3E}">
          <x14:id>{04D14680-043B-C345-B88B-116D685FDAD5}</x14:id>
        </ext>
      </extLst>
    </cfRule>
  </conditionalFormatting>
  <conditionalFormatting sqref="D37">
    <cfRule type="dataBar" priority="93">
      <dataBar>
        <cfvo type="num" val="0"/>
        <cfvo type="num" val="1"/>
        <color theme="0" tint="-0.249977111117893"/>
      </dataBar>
      <extLst>
        <ext xmlns:x14="http://schemas.microsoft.com/office/spreadsheetml/2009/9/main" uri="{B025F937-C7B1-47D3-B67F-A62EFF666E3E}">
          <x14:id>{5DD96D70-4408-2046-AF53-8CA917FAB05F}</x14:id>
        </ext>
      </extLst>
    </cfRule>
  </conditionalFormatting>
  <conditionalFormatting sqref="D44">
    <cfRule type="dataBar" priority="82">
      <dataBar>
        <cfvo type="num" val="0"/>
        <cfvo type="num" val="1"/>
        <color theme="0" tint="-0.249977111117893"/>
      </dataBar>
      <extLst>
        <ext xmlns:x14="http://schemas.microsoft.com/office/spreadsheetml/2009/9/main" uri="{B025F937-C7B1-47D3-B67F-A62EFF666E3E}">
          <x14:id>{214C6ECC-84FF-894A-A545-482E62BEA902}</x14:id>
        </ext>
      </extLst>
    </cfRule>
  </conditionalFormatting>
  <conditionalFormatting sqref="I4:BL49 FU4:FZ49">
    <cfRule type="expression" dxfId="38" priority="132">
      <formula>AND(TODAY()&gt;=I$4,TODAY()&lt;J$4)</formula>
    </cfRule>
  </conditionalFormatting>
  <conditionalFormatting sqref="I6:BL49 FU6:FZ49">
    <cfRule type="expression" dxfId="37" priority="126">
      <formula>AND(task_start&lt;=I$4,ROUNDDOWN((task_end-task_start+1)*task_progress,0)+task_start-1&gt;=I$4)</formula>
    </cfRule>
    <cfRule type="expression" dxfId="36" priority="127" stopIfTrue="1">
      <formula>AND(task_end&gt;=I$4,task_start&lt;J$4)</formula>
    </cfRule>
  </conditionalFormatting>
  <conditionalFormatting sqref="D38:D42">
    <cfRule type="dataBar" priority="75">
      <dataBar>
        <cfvo type="num" val="0"/>
        <cfvo type="num" val="1"/>
        <color theme="0" tint="-0.249977111117893"/>
      </dataBar>
      <extLst>
        <ext xmlns:x14="http://schemas.microsoft.com/office/spreadsheetml/2009/9/main" uri="{B025F937-C7B1-47D3-B67F-A62EFF666E3E}">
          <x14:id>{68D98E5B-C0A4-426E-A6E9-BCF26EF2CF97}</x14:id>
        </ext>
      </extLst>
    </cfRule>
  </conditionalFormatting>
  <conditionalFormatting sqref="D43">
    <cfRule type="dataBar" priority="74">
      <dataBar>
        <cfvo type="num" val="0"/>
        <cfvo type="num" val="1"/>
        <color theme="0" tint="-0.249977111117893"/>
      </dataBar>
      <extLst>
        <ext xmlns:x14="http://schemas.microsoft.com/office/spreadsheetml/2009/9/main" uri="{B025F937-C7B1-47D3-B67F-A62EFF666E3E}">
          <x14:id>{B6A9270C-A0BB-49EF-9346-3DF5EE9CB077}</x14:id>
        </ext>
      </extLst>
    </cfRule>
  </conditionalFormatting>
  <conditionalFormatting sqref="D45:D48">
    <cfRule type="dataBar" priority="72">
      <dataBar>
        <cfvo type="num" val="0"/>
        <cfvo type="num" val="1"/>
        <color theme="0" tint="-0.249977111117893"/>
      </dataBar>
      <extLst>
        <ext xmlns:x14="http://schemas.microsoft.com/office/spreadsheetml/2009/9/main" uri="{B025F937-C7B1-47D3-B67F-A62EFF666E3E}">
          <x14:id>{240387F4-45FC-4BC8-9F15-AEF77AD25EF2}</x14:id>
        </ext>
      </extLst>
    </cfRule>
  </conditionalFormatting>
  <conditionalFormatting sqref="BM4:BS49">
    <cfRule type="expression" dxfId="35" priority="71">
      <formula>AND(TODAY()&gt;=BM$4,TODAY()&lt;BN$4)</formula>
    </cfRule>
  </conditionalFormatting>
  <conditionalFormatting sqref="BM6:BS49">
    <cfRule type="expression" dxfId="34" priority="69">
      <formula>AND(task_start&lt;=BM$4,ROUNDDOWN((task_end-task_start+1)*task_progress,0)+task_start-1&gt;=BM$4)</formula>
    </cfRule>
    <cfRule type="expression" dxfId="33" priority="70" stopIfTrue="1">
      <formula>AND(task_end&gt;=BM$4,task_start&lt;BN$4)</formula>
    </cfRule>
  </conditionalFormatting>
  <conditionalFormatting sqref="BT4:CG49">
    <cfRule type="expression" dxfId="32" priority="68">
      <formula>AND(TODAY()&gt;=BT$4,TODAY()&lt;BU$4)</formula>
    </cfRule>
  </conditionalFormatting>
  <conditionalFormatting sqref="BT6:CG49">
    <cfRule type="expression" dxfId="31" priority="66">
      <formula>AND(task_start&lt;=BT$4,ROUNDDOWN((task_end-task_start+1)*task_progress,0)+task_start-1&gt;=BT$4)</formula>
    </cfRule>
    <cfRule type="expression" dxfId="30" priority="67" stopIfTrue="1">
      <formula>AND(task_end&gt;=BT$4,task_start&lt;BU$4)</formula>
    </cfRule>
  </conditionalFormatting>
  <conditionalFormatting sqref="CH4:CN49">
    <cfRule type="expression" dxfId="29" priority="65">
      <formula>AND(TODAY()&gt;=CH$4,TODAY()&lt;CI$4)</formula>
    </cfRule>
  </conditionalFormatting>
  <conditionalFormatting sqref="CH6:CN49">
    <cfRule type="expression" dxfId="28" priority="63">
      <formula>AND(task_start&lt;=CH$4,ROUNDDOWN((task_end-task_start+1)*task_progress,0)+task_start-1&gt;=CH$4)</formula>
    </cfRule>
    <cfRule type="expression" dxfId="27" priority="64" stopIfTrue="1">
      <formula>AND(task_end&gt;=CH$4,task_start&lt;CI$4)</formula>
    </cfRule>
  </conditionalFormatting>
  <conditionalFormatting sqref="CO4:DB49">
    <cfRule type="expression" dxfId="26" priority="62">
      <formula>AND(TODAY()&gt;=CO$4,TODAY()&lt;CP$4)</formula>
    </cfRule>
  </conditionalFormatting>
  <conditionalFormatting sqref="CO6:DB49">
    <cfRule type="expression" dxfId="25" priority="60">
      <formula>AND(task_start&lt;=CO$4,ROUNDDOWN((task_end-task_start+1)*task_progress,0)+task_start-1&gt;=CO$4)</formula>
    </cfRule>
    <cfRule type="expression" dxfId="24" priority="61" stopIfTrue="1">
      <formula>AND(task_end&gt;=CO$4,task_start&lt;CP$4)</formula>
    </cfRule>
  </conditionalFormatting>
  <conditionalFormatting sqref="DC4:DI49">
    <cfRule type="expression" dxfId="23" priority="59">
      <formula>AND(TODAY()&gt;=DC$4,TODAY()&lt;DD$4)</formula>
    </cfRule>
  </conditionalFormatting>
  <conditionalFormatting sqref="DC6:DI49">
    <cfRule type="expression" dxfId="22" priority="57">
      <formula>AND(task_start&lt;=DC$4,ROUNDDOWN((task_end-task_start+1)*task_progress,0)+task_start-1&gt;=DC$4)</formula>
    </cfRule>
    <cfRule type="expression" dxfId="21" priority="58" stopIfTrue="1">
      <formula>AND(task_end&gt;=DC$4,task_start&lt;DD$4)</formula>
    </cfRule>
  </conditionalFormatting>
  <conditionalFormatting sqref="DJ4:DW49">
    <cfRule type="expression" dxfId="20" priority="56">
      <formula>AND(TODAY()&gt;=DJ$4,TODAY()&lt;DK$4)</formula>
    </cfRule>
  </conditionalFormatting>
  <conditionalFormatting sqref="DJ6:DW49">
    <cfRule type="expression" dxfId="19" priority="54">
      <formula>AND(task_start&lt;=DJ$4,ROUNDDOWN((task_end-task_start+1)*task_progress,0)+task_start-1&gt;=DJ$4)</formula>
    </cfRule>
    <cfRule type="expression" dxfId="18" priority="55" stopIfTrue="1">
      <formula>AND(task_end&gt;=DJ$4,task_start&lt;DK$4)</formula>
    </cfRule>
  </conditionalFormatting>
  <conditionalFormatting sqref="DX4:ED49">
    <cfRule type="expression" dxfId="17" priority="53">
      <formula>AND(TODAY()&gt;=DX$4,TODAY()&lt;DY$4)</formula>
    </cfRule>
  </conditionalFormatting>
  <conditionalFormatting sqref="DX6:ED49">
    <cfRule type="expression" dxfId="16" priority="51">
      <formula>AND(task_start&lt;=DX$4,ROUNDDOWN((task_end-task_start+1)*task_progress,0)+task_start-1&gt;=DX$4)</formula>
    </cfRule>
    <cfRule type="expression" dxfId="15" priority="52" stopIfTrue="1">
      <formula>AND(task_end&gt;=DX$4,task_start&lt;DY$4)</formula>
    </cfRule>
  </conditionalFormatting>
  <conditionalFormatting sqref="EE4:ER49">
    <cfRule type="expression" dxfId="14" priority="50">
      <formula>AND(TODAY()&gt;=EE$4,TODAY()&lt;EF$4)</formula>
    </cfRule>
  </conditionalFormatting>
  <conditionalFormatting sqref="EE6:ER49">
    <cfRule type="expression" dxfId="13" priority="48">
      <formula>AND(task_start&lt;=EE$4,ROUNDDOWN((task_end-task_start+1)*task_progress,0)+task_start-1&gt;=EE$4)</formula>
    </cfRule>
    <cfRule type="expression" dxfId="12" priority="49" stopIfTrue="1">
      <formula>AND(task_end&gt;=EE$4,task_start&lt;EF$4)</formula>
    </cfRule>
  </conditionalFormatting>
  <conditionalFormatting sqref="ES4:EY49">
    <cfRule type="expression" dxfId="11" priority="47">
      <formula>AND(TODAY()&gt;=ES$4,TODAY()&lt;ET$4)</formula>
    </cfRule>
  </conditionalFormatting>
  <conditionalFormatting sqref="ES6:EY49">
    <cfRule type="expression" dxfId="10" priority="45">
      <formula>AND(task_start&lt;=ES$4,ROUNDDOWN((task_end-task_start+1)*task_progress,0)+task_start-1&gt;=ES$4)</formula>
    </cfRule>
    <cfRule type="expression" dxfId="9" priority="46" stopIfTrue="1">
      <formula>AND(task_end&gt;=ES$4,task_start&lt;ET$4)</formula>
    </cfRule>
  </conditionalFormatting>
  <conditionalFormatting sqref="EZ4:FM49">
    <cfRule type="expression" dxfId="8" priority="44">
      <formula>AND(TODAY()&gt;=EZ$4,TODAY()&lt;FA$4)</formula>
    </cfRule>
  </conditionalFormatting>
  <conditionalFormatting sqref="EZ6:FM49">
    <cfRule type="expression" dxfId="7" priority="42">
      <formula>AND(task_start&lt;=EZ$4,ROUNDDOWN((task_end-task_start+1)*task_progress,0)+task_start-1&gt;=EZ$4)</formula>
    </cfRule>
    <cfRule type="expression" dxfId="6" priority="43" stopIfTrue="1">
      <formula>AND(task_end&gt;=EZ$4,task_start&lt;FA$4)</formula>
    </cfRule>
  </conditionalFormatting>
  <conditionalFormatting sqref="FN4:FT49">
    <cfRule type="expression" dxfId="5" priority="41">
      <formula>AND(TODAY()&gt;=FN$4,TODAY()&lt;FO$4)</formula>
    </cfRule>
  </conditionalFormatting>
  <conditionalFormatting sqref="FN6:FT49">
    <cfRule type="expression" dxfId="4" priority="39">
      <formula>AND(task_start&lt;=FN$4,ROUNDDOWN((task_end-task_start+1)*task_progress,0)+task_start-1&gt;=FN$4)</formula>
    </cfRule>
    <cfRule type="expression" dxfId="3" priority="40" stopIfTrue="1">
      <formula>AND(task_end&gt;=FN$4,task_start&lt;FO$4)</formula>
    </cfRule>
  </conditionalFormatting>
  <conditionalFormatting sqref="GA4:GA49">
    <cfRule type="expression" dxfId="2" priority="134">
      <formula>AND(TODAY()&gt;=GA$4,TODAY()&lt;#REF!)</formula>
    </cfRule>
  </conditionalFormatting>
  <conditionalFormatting sqref="GA6:GA49">
    <cfRule type="expression" dxfId="1" priority="137">
      <formula>AND(task_start&lt;=GA$4,ROUNDDOWN((task_end-task_start+1)*task_progress,0)+task_start-1&gt;=GA$4)</formula>
    </cfRule>
    <cfRule type="expression" dxfId="0" priority="138" stopIfTrue="1">
      <formula>AND(task_end&gt;=GA$4,task_start&lt;#REF!)</formula>
    </cfRule>
  </conditionalFormatting>
  <conditionalFormatting sqref="D32">
    <cfRule type="dataBar" priority="2">
      <dataBar>
        <cfvo type="num" val="0"/>
        <cfvo type="num" val="1"/>
        <color theme="0" tint="-0.249977111117893"/>
      </dataBar>
      <extLst>
        <ext xmlns:x14="http://schemas.microsoft.com/office/spreadsheetml/2009/9/main" uri="{B025F937-C7B1-47D3-B67F-A62EFF666E3E}">
          <x14:id>{432FC3D3-8981-4A04-8676-26527E0326E4}</x14:id>
        </ext>
      </extLst>
    </cfRule>
  </conditionalFormatting>
  <conditionalFormatting sqref="D33:D36">
    <cfRule type="dataBar" priority="1">
      <dataBar>
        <cfvo type="num" val="0"/>
        <cfvo type="num" val="1"/>
        <color theme="0" tint="-0.249977111117893"/>
      </dataBar>
      <extLst>
        <ext xmlns:x14="http://schemas.microsoft.com/office/spreadsheetml/2009/9/main" uri="{B025F937-C7B1-47D3-B67F-A62EFF666E3E}">
          <x14:id>{E821D282-A46B-4D9B-ACB9-7738C57BC318}</x14:id>
        </ext>
      </extLst>
    </cfRule>
  </conditionalFormatting>
  <dataValidations count="1">
    <dataValidation type="whole" operator="greaterThanOrEqual" allowBlank="1" showInputMessage="1" promptTitle="显示周数" prompt="更改此数字将滚动甘特图视图。" sqref="E3" xr:uid="{00000000-0002-0000-0000-000000000000}">
      <formula1>1</formula1>
    </dataValidation>
  </dataValidations>
  <printOptions horizontalCentered="1"/>
  <pageMargins left="0.35" right="0.35" top="0.35" bottom="0.5" header="0.3" footer="0.3"/>
  <pageSetup paperSize="9" scale="56"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 D49</xm:sqref>
        </x14:conditionalFormatting>
        <x14:conditionalFormatting xmlns:xm="http://schemas.microsoft.com/office/excel/2006/main">
          <x14:cfRule type="dataBar" id="{00CBCC4D-2612-5B44-9905-8ABC6CB616E5}">
            <x14:dataBar minLength="0" maxLength="100" gradient="0">
              <x14:cfvo type="num">
                <xm:f>0</xm:f>
              </x14:cfvo>
              <x14:cfvo type="num">
                <xm:f>1</xm:f>
              </x14:cfvo>
              <x14:negativeFillColor rgb="FFFF0000"/>
              <x14:axisColor rgb="FF000000"/>
            </x14:dataBar>
          </x14:cfRule>
          <xm:sqref>D7</xm:sqref>
        </x14:conditionalFormatting>
        <x14:conditionalFormatting xmlns:xm="http://schemas.microsoft.com/office/excel/2006/main">
          <x14:cfRule type="dataBar" id="{87771485-D850-5C4A-A64C-41F60DD6753F}">
            <x14:dataBar minLength="0" maxLength="100" gradient="0">
              <x14:cfvo type="num">
                <xm:f>0</xm:f>
              </x14:cfvo>
              <x14:cfvo type="num">
                <xm:f>1</xm:f>
              </x14:cfvo>
              <x14:negativeFillColor rgb="FFFF0000"/>
              <x14:axisColor rgb="FF000000"/>
            </x14:dataBar>
          </x14:cfRule>
          <xm:sqref>D8:D12</xm:sqref>
        </x14:conditionalFormatting>
        <x14:conditionalFormatting xmlns:xm="http://schemas.microsoft.com/office/excel/2006/main">
          <x14:cfRule type="dataBar" id="{6931FEB6-27C8-404A-B836-D2C4997B5EA2}">
            <x14:dataBar minLength="0" maxLength="100" gradient="0">
              <x14:cfvo type="num">
                <xm:f>0</xm:f>
              </x14:cfvo>
              <x14:cfvo type="num">
                <xm:f>1</xm:f>
              </x14:cfvo>
              <x14:negativeFillColor rgb="FFFF0000"/>
              <x14:axisColor rgb="FF000000"/>
            </x14:dataBar>
          </x14:cfRule>
          <xm:sqref>D10:D11</xm:sqref>
        </x14:conditionalFormatting>
        <x14:conditionalFormatting xmlns:xm="http://schemas.microsoft.com/office/excel/2006/main">
          <x14:cfRule type="dataBar" id="{6A5D3ABF-E618-644D-BDC7-7CA2A8E23783}">
            <x14:dataBar minLength="0" maxLength="100" gradient="0">
              <x14:cfvo type="num">
                <xm:f>0</xm:f>
              </x14:cfvo>
              <x14:cfvo type="num">
                <xm:f>1</xm:f>
              </x14:cfvo>
              <x14:negativeFillColor rgb="FFFF0000"/>
              <x14:axisColor rgb="FF000000"/>
            </x14:dataBar>
          </x14:cfRule>
          <xm:sqref>D12</xm:sqref>
        </x14:conditionalFormatting>
        <x14:conditionalFormatting xmlns:xm="http://schemas.microsoft.com/office/excel/2006/main">
          <x14:cfRule type="dataBar" id="{C1C95AB5-B8BC-B743-BC39-4BCBC7DA63DA}">
            <x14:dataBar minLength="0" maxLength="100" gradient="0">
              <x14:cfvo type="num">
                <xm:f>0</xm:f>
              </x14:cfvo>
              <x14:cfvo type="num">
                <xm:f>1</xm:f>
              </x14:cfvo>
              <x14:negativeFillColor rgb="FFFF0000"/>
              <x14:axisColor rgb="FF000000"/>
            </x14:dataBar>
          </x14:cfRule>
          <xm:sqref>D13</xm:sqref>
        </x14:conditionalFormatting>
        <x14:conditionalFormatting xmlns:xm="http://schemas.microsoft.com/office/excel/2006/main">
          <x14:cfRule type="dataBar" id="{04D14680-043B-C345-B88B-116D685FDAD5}">
            <x14:dataBar minLength="0" maxLength="100" gradient="0">
              <x14:cfvo type="num">
                <xm:f>0</xm:f>
              </x14:cfvo>
              <x14:cfvo type="num">
                <xm:f>1</xm:f>
              </x14:cfvo>
              <x14:negativeFillColor rgb="FFFF0000"/>
              <x14:axisColor rgb="FF000000"/>
            </x14:dataBar>
          </x14:cfRule>
          <xm:sqref>D14:D31</xm:sqref>
        </x14:conditionalFormatting>
        <x14:conditionalFormatting xmlns:xm="http://schemas.microsoft.com/office/excel/2006/main">
          <x14:cfRule type="dataBar" id="{5DD96D70-4408-2046-AF53-8CA917FAB05F}">
            <x14:dataBar minLength="0" maxLength="100" gradient="0">
              <x14:cfvo type="num">
                <xm:f>0</xm:f>
              </x14:cfvo>
              <x14:cfvo type="num">
                <xm:f>1</xm:f>
              </x14:cfvo>
              <x14:negativeFillColor rgb="FFFF0000"/>
              <x14:axisColor rgb="FF000000"/>
            </x14:dataBar>
          </x14:cfRule>
          <xm:sqref>D37</xm:sqref>
        </x14:conditionalFormatting>
        <x14:conditionalFormatting xmlns:xm="http://schemas.microsoft.com/office/excel/2006/main">
          <x14:cfRule type="dataBar" id="{214C6ECC-84FF-894A-A545-482E62BEA902}">
            <x14:dataBar minLength="0" maxLength="100" gradient="0">
              <x14:cfvo type="num">
                <xm:f>0</xm:f>
              </x14:cfvo>
              <x14:cfvo type="num">
                <xm:f>1</xm:f>
              </x14:cfvo>
              <x14:negativeFillColor rgb="FFFF0000"/>
              <x14:axisColor rgb="FF000000"/>
            </x14:dataBar>
          </x14:cfRule>
          <xm:sqref>D44</xm:sqref>
        </x14:conditionalFormatting>
        <x14:conditionalFormatting xmlns:xm="http://schemas.microsoft.com/office/excel/2006/main">
          <x14:cfRule type="dataBar" id="{68D98E5B-C0A4-426E-A6E9-BCF26EF2CF97}">
            <x14:dataBar minLength="0" maxLength="100" gradient="0">
              <x14:cfvo type="num">
                <xm:f>0</xm:f>
              </x14:cfvo>
              <x14:cfvo type="num">
                <xm:f>1</xm:f>
              </x14:cfvo>
              <x14:negativeFillColor rgb="FFFF0000"/>
              <x14:axisColor rgb="FF000000"/>
            </x14:dataBar>
          </x14:cfRule>
          <xm:sqref>D38:D42</xm:sqref>
        </x14:conditionalFormatting>
        <x14:conditionalFormatting xmlns:xm="http://schemas.microsoft.com/office/excel/2006/main">
          <x14:cfRule type="dataBar" id="{B6A9270C-A0BB-49EF-9346-3DF5EE9CB077}">
            <x14:dataBar minLength="0" maxLength="100" gradient="0">
              <x14:cfvo type="num">
                <xm:f>0</xm:f>
              </x14:cfvo>
              <x14:cfvo type="num">
                <xm:f>1</xm:f>
              </x14:cfvo>
              <x14:negativeFillColor rgb="FFFF0000"/>
              <x14:axisColor rgb="FF000000"/>
            </x14:dataBar>
          </x14:cfRule>
          <xm:sqref>D43</xm:sqref>
        </x14:conditionalFormatting>
        <x14:conditionalFormatting xmlns:xm="http://schemas.microsoft.com/office/excel/2006/main">
          <x14:cfRule type="dataBar" id="{240387F4-45FC-4BC8-9F15-AEF77AD25EF2}">
            <x14:dataBar minLength="0" maxLength="100" gradient="0">
              <x14:cfvo type="num">
                <xm:f>0</xm:f>
              </x14:cfvo>
              <x14:cfvo type="num">
                <xm:f>1</xm:f>
              </x14:cfvo>
              <x14:negativeFillColor rgb="FFFF0000"/>
              <x14:axisColor rgb="FF000000"/>
            </x14:dataBar>
          </x14:cfRule>
          <xm:sqref>D45:D48</xm:sqref>
        </x14:conditionalFormatting>
        <x14:conditionalFormatting xmlns:xm="http://schemas.microsoft.com/office/excel/2006/main">
          <x14:cfRule type="dataBar" id="{432FC3D3-8981-4A04-8676-26527E0326E4}">
            <x14:dataBar minLength="0" maxLength="100" gradient="0">
              <x14:cfvo type="num">
                <xm:f>0</xm:f>
              </x14:cfvo>
              <x14:cfvo type="num">
                <xm:f>1</xm:f>
              </x14:cfvo>
              <x14:negativeFillColor rgb="FFFF0000"/>
              <x14:axisColor rgb="FF000000"/>
            </x14:dataBar>
          </x14:cfRule>
          <xm:sqref>D32</xm:sqref>
        </x14:conditionalFormatting>
        <x14:conditionalFormatting xmlns:xm="http://schemas.microsoft.com/office/excel/2006/main">
          <x14:cfRule type="dataBar" id="{E821D282-A46B-4D9B-ACB9-7738C57BC318}">
            <x14:dataBar minLength="0" maxLength="100" gradient="0">
              <x14:cfvo type="num">
                <xm:f>0</xm:f>
              </x14:cfvo>
              <x14:cfvo type="num">
                <xm:f>1</xm:f>
              </x14:cfvo>
              <x14:negativeFillColor rgb="FFFF0000"/>
              <x14:axisColor rgb="FF000000"/>
            </x14:dataBar>
          </x14:cfRule>
          <xm:sqref>D33:D36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7C389A784B1CE479151913020B2F9B5" ma:contentTypeVersion="3" ma:contentTypeDescription="Create a new document." ma:contentTypeScope="" ma:versionID="2dfcf83df6aae8459a36af3d4c2e5764">
  <xsd:schema xmlns:xsd="http://www.w3.org/2001/XMLSchema" xmlns:xs="http://www.w3.org/2001/XMLSchema" xmlns:p="http://schemas.microsoft.com/office/2006/metadata/properties" xmlns:ns2="49ba7229-0e2f-4f91-903d-e99a77f87a95" targetNamespace="http://schemas.microsoft.com/office/2006/metadata/properties" ma:root="true" ma:fieldsID="23caedc7c1bb5ebc90be8016f48e89c9" ns2:_="">
    <xsd:import namespace="49ba7229-0e2f-4f91-903d-e99a77f87a9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ba7229-0e2f-4f91-903d-e99a77f87a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file>

<file path=customXml/itemProps2.xml><?xml version="1.0" encoding="utf-8"?>
<ds:datastoreItem xmlns:ds="http://schemas.openxmlformats.org/officeDocument/2006/customXml" ds:itemID="{9FA07705-186B-4238-B64A-2649201F923D}"/>
</file>

<file path=customXml/itemProps3.xml><?xml version="1.0" encoding="utf-8"?>
<ds:datastoreItem xmlns:ds="http://schemas.openxmlformats.org/officeDocument/2006/customXml" ds:itemID="{E4A34E49-7289-4AEA-9593-4F55E04ADB1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2026-01-31T13:00:06Z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0x01010057C389A784B1CE479151913020B2F9B5</vt:lpwstr>
  </property>
</Properties>
</file>